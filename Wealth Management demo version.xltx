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ink/ink1.xml" ContentType="application/inkml+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omments5.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ink/ink2.xml" ContentType="application/inkml+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workbookPr codeName="ThisWorkbook" defaultThemeVersion="202300"/>
  <mc:AlternateContent xmlns:mc="http://schemas.openxmlformats.org/markup-compatibility/2006">
    <mc:Choice Requires="x15">
      <x15ac:absPath xmlns:x15ac="http://schemas.microsoft.com/office/spreadsheetml/2010/11/ac" url="/Users/ericjiang/Library/Mobile Documents/com~apple~CloudDocs/Career:Project/S.tier project (personal)/"/>
    </mc:Choice>
  </mc:AlternateContent>
  <xr:revisionPtr revIDLastSave="0" documentId="8_{CAE34D1E-AA0A-D841-928E-BFA2280CFE67}" xr6:coauthVersionLast="47" xr6:coauthVersionMax="47" xr10:uidLastSave="{00000000-0000-0000-0000-000000000000}"/>
  <bookViews>
    <workbookView xWindow="3840" yWindow="840" windowWidth="26400" windowHeight="17500" xr2:uid="{00000000-000D-0000-FFFF-FFFF00000000}"/>
  </bookViews>
  <sheets>
    <sheet name="Asset Maps" sheetId="3" r:id="rId1"/>
    <sheet name="Financial Summary" sheetId="4" r:id="rId2"/>
    <sheet name="Financial Journal" sheetId="6" r:id="rId3"/>
    <sheet name="Portfolio" sheetId="2" r:id="rId4"/>
    <sheet name="Portfolio Dec.11.2025 Q4" sheetId="13" r:id="rId5"/>
    <sheet name="Portfolio Model" sheetId="7" r:id="rId6"/>
    <sheet name="Stock Watchlist" sheetId="1" r:id="rId7"/>
    <sheet name="Client Profile" sheetId="8" r:id="rId8"/>
    <sheet name="Client Profile (2)" sheetId="12" r:id="rId9"/>
    <sheet name="client profile back page" sheetId="11" r:id="rId10"/>
  </sheets>
  <definedNames>
    <definedName name="_xlnm._FilterDatabase" localSheetId="6" hidden="1">'Stock Watchlist'!$N$2:$O$22</definedName>
    <definedName name="_xlnm.Print_Area" localSheetId="0">'Asset Maps'!$A$1:$U$48</definedName>
    <definedName name="_xlnm.Print_Area" localSheetId="7">'Client Profile'!$A$1:$I$74</definedName>
    <definedName name="_xlnm.Print_Area" localSheetId="8">'Client Profile (2)'!$A$1:$J$74</definedName>
    <definedName name="_xlnm.Print_Area" localSheetId="2">'Financial Journal'!$A$1:$P$142</definedName>
    <definedName name="_xlnm.Print_Area" localSheetId="1">'Financial Summary'!$A$1:$O$78</definedName>
    <definedName name="_xlnm.Print_Area" localSheetId="3">Portfolio!$A$1:$L$120</definedName>
    <definedName name="_xlnm.Print_Area" localSheetId="4">'Portfolio Dec.11.2025 Q4'!$A$1:$L$139</definedName>
    <definedName name="_xlnm.Print_Area" localSheetId="6">'Stock Watchlist'!$A$1:$P$34</definedName>
    <definedName name="solver_eng" localSheetId="1" hidden="1">1</definedName>
    <definedName name="solver_eng" localSheetId="6" hidden="1">1</definedName>
    <definedName name="solver_lin" localSheetId="1" hidden="1">2</definedName>
    <definedName name="solver_lin" localSheetId="6" hidden="1">2</definedName>
    <definedName name="solver_neg" localSheetId="1" hidden="1">1</definedName>
    <definedName name="solver_neg" localSheetId="6" hidden="1">1</definedName>
    <definedName name="solver_num" localSheetId="1" hidden="1">0</definedName>
    <definedName name="solver_num" localSheetId="6" hidden="1">0</definedName>
    <definedName name="solver_opt" localSheetId="1" hidden="1">'Financial Summary'!#REF!</definedName>
    <definedName name="solver_opt" localSheetId="6" hidden="1">'Stock Watchlist'!$D$2</definedName>
    <definedName name="solver_typ" localSheetId="1" hidden="1">1</definedName>
    <definedName name="solver_typ" localSheetId="6" hidden="1">1</definedName>
    <definedName name="solver_val" localSheetId="1" hidden="1">0</definedName>
    <definedName name="solver_val" localSheetId="6" hidden="1">0</definedName>
    <definedName name="solver_ver" localSheetId="1" hidden="1">2</definedName>
    <definedName name="solver_ver" localSheetId="6"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9" i="2" l="1" a="1"/>
  <c r="C89" i="2" s="1"/>
  <c r="D89" i="2" s="1"/>
  <c r="D35" i="1" a="1"/>
  <c r="D35" i="1" s="1"/>
  <c r="E35" i="1" a="1"/>
  <c r="E35" i="1" s="1"/>
  <c r="G35" i="1" a="1"/>
  <c r="G35" i="1" s="1"/>
  <c r="H35" i="1" a="1"/>
  <c r="H35" i="1" s="1"/>
  <c r="I35" i="1" a="1"/>
  <c r="I35" i="1" s="1"/>
  <c r="K35" i="1" a="1"/>
  <c r="K35" i="1" s="1"/>
  <c r="L35" i="1" a="1"/>
  <c r="L35" i="1" s="1"/>
  <c r="M35" i="1" a="1"/>
  <c r="M35" i="1" s="1"/>
  <c r="N35" i="1" a="1"/>
  <c r="N35" i="1" s="1"/>
  <c r="O35" i="1" a="1"/>
  <c r="O35" i="1" s="1"/>
  <c r="P35" i="1" a="1"/>
  <c r="P35" i="1" s="1"/>
  <c r="D36" i="1" a="1"/>
  <c r="D36" i="1" s="1"/>
  <c r="E36" i="1" a="1"/>
  <c r="E36" i="1" s="1"/>
  <c r="G36" i="1" a="1"/>
  <c r="G36" i="1" s="1"/>
  <c r="H36" i="1" a="1"/>
  <c r="H36" i="1" s="1"/>
  <c r="I36" i="1" a="1"/>
  <c r="I36" i="1" s="1"/>
  <c r="J36" i="1" a="1"/>
  <c r="J36" i="1" s="1"/>
  <c r="K36" i="1" a="1"/>
  <c r="K36" i="1" s="1"/>
  <c r="L36" i="1" a="1"/>
  <c r="L36" i="1" s="1"/>
  <c r="M36" i="1" a="1"/>
  <c r="M36" i="1" s="1"/>
  <c r="N36" i="1" a="1"/>
  <c r="N36" i="1" s="1"/>
  <c r="O36" i="1" a="1"/>
  <c r="O36" i="1" s="1"/>
  <c r="P36" i="1" a="1"/>
  <c r="P36" i="1" s="1"/>
  <c r="D37" i="1" a="1"/>
  <c r="D37" i="1" s="1"/>
  <c r="E37" i="1" a="1"/>
  <c r="E37" i="1" s="1"/>
  <c r="G37" i="1" a="1"/>
  <c r="G37" i="1" s="1"/>
  <c r="H37" i="1" a="1"/>
  <c r="H37" i="1" s="1"/>
  <c r="I37" i="1" a="1"/>
  <c r="I37" i="1" s="1"/>
  <c r="J37" i="1" a="1"/>
  <c r="J37" i="1" s="1"/>
  <c r="K37" i="1" a="1"/>
  <c r="K37" i="1" s="1"/>
  <c r="L37" i="1" a="1"/>
  <c r="L37" i="1" s="1"/>
  <c r="M37" i="1" a="1"/>
  <c r="M37" i="1" s="1"/>
  <c r="N37" i="1" a="1"/>
  <c r="N37" i="1" s="1"/>
  <c r="O37" i="1" a="1"/>
  <c r="O37" i="1" s="1"/>
  <c r="P37" i="1" a="1"/>
  <c r="P37" i="1" s="1"/>
  <c r="D38" i="1" a="1"/>
  <c r="D38" i="1" s="1"/>
  <c r="E38" i="1" a="1"/>
  <c r="E38" i="1" s="1"/>
  <c r="G38" i="1" a="1"/>
  <c r="G38" i="1" s="1"/>
  <c r="H38" i="1" a="1"/>
  <c r="H38" i="1" s="1"/>
  <c r="I38" i="1" a="1"/>
  <c r="I38" i="1" s="1"/>
  <c r="J38" i="1" a="1"/>
  <c r="J38" i="1" s="1"/>
  <c r="K38" i="1" a="1"/>
  <c r="K38" i="1" s="1"/>
  <c r="L38" i="1" a="1"/>
  <c r="L38" i="1" s="1"/>
  <c r="M38" i="1" a="1"/>
  <c r="M38" i="1" s="1"/>
  <c r="N38" i="1" a="1"/>
  <c r="N38" i="1" s="1"/>
  <c r="O38" i="1" a="1"/>
  <c r="O38" i="1" s="1"/>
  <c r="P38" i="1" a="1"/>
  <c r="P38" i="1" s="1"/>
  <c r="D39" i="1" a="1"/>
  <c r="D39" i="1" s="1"/>
  <c r="E39" i="1" a="1"/>
  <c r="E39" i="1" s="1"/>
  <c r="G39" i="1" a="1"/>
  <c r="G39" i="1" s="1"/>
  <c r="H39" i="1" a="1"/>
  <c r="H39" i="1" s="1"/>
  <c r="I39" i="1" a="1"/>
  <c r="I39" i="1" s="1"/>
  <c r="J39" i="1" a="1"/>
  <c r="J39" i="1" s="1"/>
  <c r="K39" i="1" a="1"/>
  <c r="K39" i="1" s="1"/>
  <c r="L39" i="1" a="1"/>
  <c r="L39" i="1" s="1"/>
  <c r="M39" i="1" a="1"/>
  <c r="M39" i="1" s="1"/>
  <c r="N39" i="1" a="1"/>
  <c r="N39" i="1" s="1"/>
  <c r="O39" i="1" a="1"/>
  <c r="O39" i="1" s="1"/>
  <c r="P39" i="1" a="1"/>
  <c r="P39" i="1" s="1"/>
  <c r="D40" i="1" a="1"/>
  <c r="D40" i="1" s="1"/>
  <c r="E40" i="1" a="1"/>
  <c r="E40" i="1" s="1"/>
  <c r="G40" i="1" a="1"/>
  <c r="G40" i="1" s="1"/>
  <c r="H40" i="1" a="1"/>
  <c r="H40" i="1" s="1"/>
  <c r="I40" i="1" a="1"/>
  <c r="I40" i="1" s="1"/>
  <c r="J40" i="1" a="1"/>
  <c r="J40" i="1" s="1"/>
  <c r="K40" i="1" a="1"/>
  <c r="K40" i="1" s="1"/>
  <c r="L40" i="1" a="1"/>
  <c r="L40" i="1" s="1"/>
  <c r="M40" i="1" a="1"/>
  <c r="M40" i="1" s="1"/>
  <c r="N40" i="1" a="1"/>
  <c r="N40" i="1" s="1"/>
  <c r="O40" i="1" a="1"/>
  <c r="O40" i="1" s="1"/>
  <c r="P40" i="1" a="1"/>
  <c r="P40" i="1" s="1"/>
  <c r="D41" i="1" a="1"/>
  <c r="D41" i="1" s="1"/>
  <c r="E41" i="1" a="1"/>
  <c r="E41" i="1" s="1"/>
  <c r="G41" i="1" a="1"/>
  <c r="G41" i="1" s="1"/>
  <c r="H41" i="1" a="1"/>
  <c r="H41" i="1" s="1"/>
  <c r="I41" i="1" a="1"/>
  <c r="I41" i="1" s="1"/>
  <c r="J41" i="1" a="1"/>
  <c r="J41" i="1" s="1"/>
  <c r="K41" i="1" a="1"/>
  <c r="K41" i="1" s="1"/>
  <c r="L41" i="1" a="1"/>
  <c r="L41" i="1" s="1"/>
  <c r="M41" i="1" a="1"/>
  <c r="M41" i="1" s="1"/>
  <c r="N41" i="1" a="1"/>
  <c r="N41" i="1" s="1"/>
  <c r="O41" i="1" a="1"/>
  <c r="O41" i="1" s="1"/>
  <c r="P41" i="1" a="1"/>
  <c r="P41" i="1" s="1"/>
  <c r="D42" i="1" a="1"/>
  <c r="D42" i="1" s="1"/>
  <c r="E42" i="1" a="1"/>
  <c r="E42" i="1" s="1"/>
  <c r="G42" i="1" a="1"/>
  <c r="G42" i="1" s="1"/>
  <c r="H42" i="1" a="1"/>
  <c r="H42" i="1" s="1"/>
  <c r="I42" i="1" a="1"/>
  <c r="I42" i="1" s="1"/>
  <c r="J42" i="1" a="1"/>
  <c r="J42" i="1" s="1"/>
  <c r="K42" i="1" a="1"/>
  <c r="K42" i="1" s="1"/>
  <c r="L42" i="1" a="1"/>
  <c r="L42" i="1" s="1"/>
  <c r="M42" i="1" a="1"/>
  <c r="M42" i="1" s="1"/>
  <c r="N42" i="1" a="1"/>
  <c r="N42" i="1" s="1"/>
  <c r="O42" i="1" a="1"/>
  <c r="O42" i="1" s="1"/>
  <c r="P42" i="1" a="1"/>
  <c r="P42" i="1" s="1"/>
  <c r="D43" i="1" a="1"/>
  <c r="D43" i="1" s="1"/>
  <c r="E43" i="1" a="1"/>
  <c r="E43" i="1" s="1"/>
  <c r="G43" i="1" a="1"/>
  <c r="G43" i="1" s="1"/>
  <c r="H43" i="1" a="1"/>
  <c r="H43" i="1" s="1"/>
  <c r="I43" i="1" a="1"/>
  <c r="I43" i="1" s="1"/>
  <c r="J43" i="1" a="1"/>
  <c r="J43" i="1" s="1"/>
  <c r="K43" i="1" a="1"/>
  <c r="K43" i="1" s="1"/>
  <c r="L43" i="1" a="1"/>
  <c r="L43" i="1" s="1"/>
  <c r="M43" i="1" a="1"/>
  <c r="M43" i="1" s="1"/>
  <c r="N43" i="1" a="1"/>
  <c r="N43" i="1" s="1"/>
  <c r="O43" i="1" a="1"/>
  <c r="O43" i="1" s="1"/>
  <c r="P43" i="1" a="1"/>
  <c r="P43" i="1" s="1"/>
  <c r="D44" i="1" a="1"/>
  <c r="D44" i="1" s="1"/>
  <c r="E44" i="1" a="1"/>
  <c r="E44" i="1" s="1"/>
  <c r="G44" i="1" a="1"/>
  <c r="G44" i="1" s="1"/>
  <c r="H44" i="1" a="1"/>
  <c r="H44" i="1" s="1"/>
  <c r="I44" i="1" a="1"/>
  <c r="I44" i="1" s="1"/>
  <c r="J44" i="1" a="1"/>
  <c r="J44" i="1" s="1"/>
  <c r="K44" i="1" a="1"/>
  <c r="K44" i="1" s="1"/>
  <c r="L44" i="1" a="1"/>
  <c r="L44" i="1" s="1"/>
  <c r="M44" i="1" a="1"/>
  <c r="M44" i="1" s="1"/>
  <c r="N44" i="1" a="1"/>
  <c r="N44" i="1" s="1"/>
  <c r="O44" i="1" a="1"/>
  <c r="O44" i="1" s="1"/>
  <c r="P44" i="1" a="1"/>
  <c r="P44" i="1" s="1"/>
  <c r="D45" i="1" a="1"/>
  <c r="D45" i="1" s="1"/>
  <c r="E45" i="1" a="1"/>
  <c r="E45" i="1" s="1"/>
  <c r="G45" i="1" a="1"/>
  <c r="G45" i="1" s="1"/>
  <c r="H45" i="1" a="1"/>
  <c r="H45" i="1" s="1"/>
  <c r="I45" i="1" a="1"/>
  <c r="I45" i="1" s="1"/>
  <c r="J45" i="1" a="1"/>
  <c r="J45" i="1" s="1"/>
  <c r="K45" i="1" a="1"/>
  <c r="K45" i="1" s="1"/>
  <c r="L45" i="1" a="1"/>
  <c r="L45" i="1" s="1"/>
  <c r="M45" i="1" a="1"/>
  <c r="M45" i="1" s="1"/>
  <c r="N45" i="1" a="1"/>
  <c r="N45" i="1" s="1"/>
  <c r="O45" i="1" a="1"/>
  <c r="O45" i="1" s="1"/>
  <c r="P45" i="1" a="1"/>
  <c r="P45" i="1" s="1"/>
  <c r="D46" i="1" a="1"/>
  <c r="D46" i="1" s="1"/>
  <c r="E46" i="1" a="1"/>
  <c r="E46" i="1" s="1"/>
  <c r="G46" i="1" a="1"/>
  <c r="G46" i="1" s="1"/>
  <c r="H46" i="1" a="1"/>
  <c r="H46" i="1" s="1"/>
  <c r="I46" i="1" a="1"/>
  <c r="I46" i="1" s="1"/>
  <c r="J46" i="1" a="1"/>
  <c r="J46" i="1" s="1"/>
  <c r="K46" i="1" a="1"/>
  <c r="K46" i="1" s="1"/>
  <c r="L46" i="1" a="1"/>
  <c r="L46" i="1" s="1"/>
  <c r="M46" i="1" a="1"/>
  <c r="M46" i="1" s="1"/>
  <c r="N46" i="1" a="1"/>
  <c r="N46" i="1" s="1"/>
  <c r="O46" i="1" a="1"/>
  <c r="O46" i="1" s="1"/>
  <c r="P46" i="1" a="1"/>
  <c r="P46" i="1" s="1"/>
  <c r="D47" i="1" a="1"/>
  <c r="D47" i="1" s="1"/>
  <c r="E47" i="1" a="1"/>
  <c r="E47" i="1" s="1"/>
  <c r="G47" i="1" a="1"/>
  <c r="G47" i="1" s="1"/>
  <c r="H47" i="1" a="1"/>
  <c r="H47" i="1" s="1"/>
  <c r="I47" i="1" a="1"/>
  <c r="I47" i="1" s="1"/>
  <c r="J47" i="1" a="1"/>
  <c r="J47" i="1" s="1"/>
  <c r="K47" i="1" a="1"/>
  <c r="K47" i="1" s="1"/>
  <c r="L47" i="1" a="1"/>
  <c r="L47" i="1" s="1"/>
  <c r="M47" i="1" a="1"/>
  <c r="M47" i="1" s="1"/>
  <c r="N47" i="1" a="1"/>
  <c r="N47" i="1" s="1"/>
  <c r="O47" i="1" a="1"/>
  <c r="O47" i="1" s="1"/>
  <c r="P47" i="1" a="1"/>
  <c r="P47" i="1" s="1"/>
  <c r="D48" i="1" a="1"/>
  <c r="D48" i="1" s="1"/>
  <c r="E48" i="1" a="1"/>
  <c r="E48" i="1" s="1"/>
  <c r="G48" i="1" a="1"/>
  <c r="G48" i="1" s="1"/>
  <c r="H48" i="1" a="1"/>
  <c r="H48" i="1" s="1"/>
  <c r="I48" i="1" a="1"/>
  <c r="I48" i="1" s="1"/>
  <c r="J48" i="1" a="1"/>
  <c r="J48" i="1" s="1"/>
  <c r="K48" i="1" a="1"/>
  <c r="K48" i="1" s="1"/>
  <c r="L48" i="1" a="1"/>
  <c r="L48" i="1" s="1"/>
  <c r="M48" i="1" a="1"/>
  <c r="M48" i="1" s="1"/>
  <c r="N48" i="1" a="1"/>
  <c r="N48" i="1" s="1"/>
  <c r="O48" i="1" a="1"/>
  <c r="O48" i="1" s="1"/>
  <c r="P48" i="1" a="1"/>
  <c r="P48" i="1" s="1"/>
  <c r="C35" i="1" a="1"/>
  <c r="C35" i="1" s="1"/>
  <c r="C36" i="1" a="1"/>
  <c r="C36" i="1" s="1"/>
  <c r="C37" i="1" a="1"/>
  <c r="C37" i="1" s="1"/>
  <c r="C38" i="1" a="1"/>
  <c r="C38" i="1" s="1"/>
  <c r="C39" i="1" a="1"/>
  <c r="C39" i="1" s="1"/>
  <c r="C40" i="1" a="1"/>
  <c r="C40" i="1" s="1"/>
  <c r="C41" i="1" a="1"/>
  <c r="C41" i="1" s="1"/>
  <c r="C42" i="1" a="1"/>
  <c r="C42" i="1" s="1"/>
  <c r="C43" i="1" a="1"/>
  <c r="C43" i="1" s="1"/>
  <c r="C44" i="1" a="1"/>
  <c r="C44" i="1" s="1"/>
  <c r="C45" i="1" a="1"/>
  <c r="C45" i="1" s="1"/>
  <c r="C46" i="1" a="1"/>
  <c r="C46" i="1" s="1"/>
  <c r="C47" i="1" a="1"/>
  <c r="C47" i="1" s="1"/>
  <c r="C48" i="1" a="1"/>
  <c r="C48" i="1" s="1"/>
  <c r="J103" i="13" a="1"/>
  <c r="J103" i="13" s="1"/>
  <c r="K103" i="13" a="1"/>
  <c r="K103" i="13" s="1"/>
  <c r="J104" i="13" a="1"/>
  <c r="J104" i="13" s="1"/>
  <c r="K104" i="13" a="1"/>
  <c r="K104" i="13" s="1"/>
  <c r="J105" i="13" a="1"/>
  <c r="J105" i="13" s="1"/>
  <c r="K105" i="13" a="1"/>
  <c r="K105" i="13" s="1"/>
  <c r="J106" i="13" a="1"/>
  <c r="J106" i="13" s="1"/>
  <c r="K106" i="13" a="1"/>
  <c r="K106" i="13" s="1"/>
  <c r="J107" i="13" a="1"/>
  <c r="J107" i="13" s="1"/>
  <c r="K107" i="13" a="1"/>
  <c r="K107" i="13" s="1"/>
  <c r="J108" i="13" a="1"/>
  <c r="J108" i="13" s="1"/>
  <c r="K108" i="13" a="1"/>
  <c r="K108" i="13" s="1"/>
  <c r="C103" i="13" a="1"/>
  <c r="C103" i="13" s="1"/>
  <c r="D103" i="13" s="1"/>
  <c r="C104" i="13" a="1"/>
  <c r="C104" i="13" s="1"/>
  <c r="D104" i="13" s="1"/>
  <c r="C105" i="13" a="1"/>
  <c r="C105" i="13" s="1"/>
  <c r="D105" i="13" s="1"/>
  <c r="C106" i="13" a="1"/>
  <c r="C106" i="13" s="1"/>
  <c r="D106" i="13" s="1"/>
  <c r="C107" i="13" a="1"/>
  <c r="C107" i="13" s="1"/>
  <c r="D107" i="13" s="1"/>
  <c r="C108" i="13" a="1"/>
  <c r="C108" i="13" s="1"/>
  <c r="D108" i="13" s="1"/>
  <c r="J36" i="13" a="1"/>
  <c r="J36" i="13" s="1"/>
  <c r="K36" i="13" a="1"/>
  <c r="K36" i="13" s="1"/>
  <c r="J37" i="13" a="1"/>
  <c r="J37" i="13" s="1"/>
  <c r="K37" i="13" a="1"/>
  <c r="K37" i="13" s="1"/>
  <c r="J38" i="13" a="1"/>
  <c r="J38" i="13" s="1"/>
  <c r="K38" i="13" a="1"/>
  <c r="K38" i="13" s="1"/>
  <c r="J39" i="13" a="1"/>
  <c r="J39" i="13" s="1"/>
  <c r="K39" i="13" a="1"/>
  <c r="K39" i="13" s="1"/>
  <c r="J40" i="13" a="1"/>
  <c r="J40" i="13" s="1"/>
  <c r="K40" i="13" a="1"/>
  <c r="K40" i="13" s="1"/>
  <c r="J41" i="13" a="1"/>
  <c r="J41" i="13" s="1"/>
  <c r="K41" i="13" a="1"/>
  <c r="K41" i="13" s="1"/>
  <c r="J42" i="13" a="1"/>
  <c r="J42" i="13" s="1"/>
  <c r="K42" i="13" a="1"/>
  <c r="K42" i="13" s="1"/>
  <c r="J43" i="13" a="1"/>
  <c r="J43" i="13" s="1"/>
  <c r="K43" i="13" a="1"/>
  <c r="K43" i="13" s="1"/>
  <c r="J44" i="13" a="1"/>
  <c r="J44" i="13" s="1"/>
  <c r="K44" i="13" a="1"/>
  <c r="K44" i="13" s="1"/>
  <c r="J45" i="13" a="1"/>
  <c r="J45" i="13" s="1"/>
  <c r="K45" i="13" a="1"/>
  <c r="K45" i="13" s="1"/>
  <c r="J46" i="13" a="1"/>
  <c r="J46" i="13" s="1"/>
  <c r="K46" i="13" a="1"/>
  <c r="K46" i="13" s="1"/>
  <c r="K35" i="13" a="1"/>
  <c r="K35" i="13" s="1"/>
  <c r="C35" i="13" a="1"/>
  <c r="C35" i="13" s="1"/>
  <c r="D35" i="13" s="1"/>
  <c r="C36" i="13" a="1"/>
  <c r="C36" i="13" s="1"/>
  <c r="D36" i="13" s="1"/>
  <c r="C37" i="13" a="1"/>
  <c r="C37" i="13" s="1"/>
  <c r="D37" i="13" s="1"/>
  <c r="C38" i="13" a="1"/>
  <c r="C38" i="13" s="1"/>
  <c r="D38" i="13" s="1"/>
  <c r="C39" i="13" a="1"/>
  <c r="C39" i="13" s="1"/>
  <c r="D39" i="13" s="1"/>
  <c r="C40" i="13" a="1"/>
  <c r="C40" i="13" s="1"/>
  <c r="D40" i="13" s="1"/>
  <c r="C41" i="13" a="1"/>
  <c r="C41" i="13" s="1"/>
  <c r="D41" i="13" s="1"/>
  <c r="C42" i="13" a="1"/>
  <c r="C42" i="13" s="1"/>
  <c r="D42" i="13" s="1"/>
  <c r="C43" i="13" a="1"/>
  <c r="C43" i="13" s="1"/>
  <c r="D43" i="13" s="1"/>
  <c r="C44" i="13" a="1"/>
  <c r="C44" i="13" s="1"/>
  <c r="D44" i="13" s="1"/>
  <c r="C45" i="13" a="1"/>
  <c r="C45" i="13" s="1"/>
  <c r="D45" i="13" s="1"/>
  <c r="C46" i="13" a="1"/>
  <c r="C46" i="13" s="1"/>
  <c r="D46" i="13" s="1"/>
  <c r="C22" i="13" a="1"/>
  <c r="C22" i="13" s="1"/>
  <c r="D22" i="13" s="1"/>
  <c r="C12" i="13" a="1"/>
  <c r="C12" i="13" s="1"/>
  <c r="K102" i="13" a="1"/>
  <c r="K102" i="13" s="1"/>
  <c r="J102" i="13" a="1"/>
  <c r="J102" i="13" s="1"/>
  <c r="C102" i="13" a="1"/>
  <c r="C102" i="13" s="1"/>
  <c r="K34" i="13" a="1"/>
  <c r="K34" i="13" s="1"/>
  <c r="J34" i="13" a="1"/>
  <c r="J34" i="13" s="1"/>
  <c r="C34" i="13" a="1"/>
  <c r="C34" i="13" s="1"/>
  <c r="D34" i="13" s="1"/>
  <c r="K33" i="13" a="1"/>
  <c r="K33" i="13" s="1"/>
  <c r="J33" i="13" a="1"/>
  <c r="J33" i="13" s="1"/>
  <c r="C33" i="13" a="1"/>
  <c r="C33" i="13" s="1"/>
  <c r="D33" i="13" s="1"/>
  <c r="K32" i="13" a="1"/>
  <c r="K32" i="13" s="1"/>
  <c r="J32" i="13" a="1"/>
  <c r="J32" i="13" s="1"/>
  <c r="C32" i="13" a="1"/>
  <c r="C32" i="13" s="1"/>
  <c r="D32" i="13" s="1"/>
  <c r="K31" i="13" a="1"/>
  <c r="K31" i="13" s="1"/>
  <c r="J31" i="13" a="1"/>
  <c r="J31" i="13" s="1"/>
  <c r="C31" i="13" a="1"/>
  <c r="C31" i="13" s="1"/>
  <c r="D31" i="13" s="1"/>
  <c r="K30" i="13" a="1"/>
  <c r="K30" i="13" s="1"/>
  <c r="J30" i="13" a="1"/>
  <c r="J30" i="13" s="1"/>
  <c r="C30" i="13" a="1"/>
  <c r="C30" i="13" s="1"/>
  <c r="D30" i="13" s="1"/>
  <c r="K29" i="13" a="1"/>
  <c r="K29" i="13" s="1"/>
  <c r="J29" i="13" a="1"/>
  <c r="J29" i="13" s="1"/>
  <c r="C29" i="13" a="1"/>
  <c r="C29" i="13" s="1"/>
  <c r="D29" i="13" s="1"/>
  <c r="K28" i="13" a="1"/>
  <c r="K28" i="13" s="1"/>
  <c r="J28" i="13" a="1"/>
  <c r="J28" i="13" s="1"/>
  <c r="C28" i="13" a="1"/>
  <c r="C28" i="13" s="1"/>
  <c r="D28" i="13" s="1"/>
  <c r="K27" i="13" a="1"/>
  <c r="K27" i="13" s="1"/>
  <c r="J27" i="13" a="1"/>
  <c r="J27" i="13" s="1"/>
  <c r="C27" i="13" a="1"/>
  <c r="C27" i="13" s="1"/>
  <c r="D27" i="13" s="1"/>
  <c r="K26" i="13" a="1"/>
  <c r="K26" i="13" s="1"/>
  <c r="J26" i="13" a="1"/>
  <c r="J26" i="13" s="1"/>
  <c r="C26" i="13" a="1"/>
  <c r="C26" i="13" s="1"/>
  <c r="D26" i="13" s="1"/>
  <c r="K25" i="13" a="1"/>
  <c r="K25" i="13" s="1"/>
  <c r="J25" i="13" a="1"/>
  <c r="J25" i="13" s="1"/>
  <c r="C25" i="13" a="1"/>
  <c r="C25" i="13" s="1"/>
  <c r="D25" i="13" s="1"/>
  <c r="K24" i="13" a="1"/>
  <c r="K24" i="13" s="1"/>
  <c r="J24" i="13" a="1"/>
  <c r="J24" i="13" s="1"/>
  <c r="C24" i="13" a="1"/>
  <c r="C24" i="13" s="1"/>
  <c r="D24" i="13" s="1"/>
  <c r="K23" i="13" a="1"/>
  <c r="K23" i="13" s="1"/>
  <c r="J23" i="13" a="1"/>
  <c r="J23" i="13" s="1"/>
  <c r="C23" i="13" a="1"/>
  <c r="C23" i="13" s="1"/>
  <c r="D23" i="13" s="1"/>
  <c r="K22" i="13" a="1"/>
  <c r="K22" i="13" s="1"/>
  <c r="J22" i="13" a="1"/>
  <c r="J22" i="13" s="1"/>
  <c r="K21" i="13" a="1"/>
  <c r="K21" i="13" s="1"/>
  <c r="J21" i="13" a="1"/>
  <c r="J21" i="13" s="1"/>
  <c r="C21" i="13" a="1"/>
  <c r="C21" i="13" s="1"/>
  <c r="D21" i="13" s="1"/>
  <c r="K20" i="13" a="1"/>
  <c r="K20" i="13" s="1"/>
  <c r="J20" i="13" a="1"/>
  <c r="J20" i="13" s="1"/>
  <c r="C20" i="13" a="1"/>
  <c r="C20" i="13" s="1"/>
  <c r="D20" i="13" s="1"/>
  <c r="K19" i="13" a="1"/>
  <c r="K19" i="13" s="1"/>
  <c r="J19" i="13" a="1"/>
  <c r="J19" i="13" s="1"/>
  <c r="C19" i="13" a="1"/>
  <c r="C19" i="13" s="1"/>
  <c r="D19" i="13" s="1"/>
  <c r="K18" i="13" a="1"/>
  <c r="K18" i="13" s="1"/>
  <c r="J18" i="13" a="1"/>
  <c r="J18" i="13" s="1"/>
  <c r="C18" i="13" a="1"/>
  <c r="C18" i="13" s="1"/>
  <c r="D18" i="13" s="1"/>
  <c r="K17" i="13" a="1"/>
  <c r="K17" i="13" s="1"/>
  <c r="J17" i="13" a="1"/>
  <c r="J17" i="13" s="1"/>
  <c r="C17" i="13" a="1"/>
  <c r="C17" i="13" s="1"/>
  <c r="D17" i="13" s="1"/>
  <c r="K16" i="13" a="1"/>
  <c r="K16" i="13" s="1"/>
  <c r="J16" i="13" a="1"/>
  <c r="J16" i="13" s="1"/>
  <c r="C16" i="13" a="1"/>
  <c r="C16" i="13" s="1"/>
  <c r="D16" i="13" s="1"/>
  <c r="K15" i="13" a="1"/>
  <c r="K15" i="13" s="1"/>
  <c r="J15" i="13" a="1"/>
  <c r="J15" i="13" s="1"/>
  <c r="C15" i="13" a="1"/>
  <c r="C15" i="13" s="1"/>
  <c r="D15" i="13" s="1"/>
  <c r="K14" i="13" a="1"/>
  <c r="K14" i="13" s="1"/>
  <c r="J14" i="13" a="1"/>
  <c r="J14" i="13" s="1"/>
  <c r="C14" i="13" a="1"/>
  <c r="C14" i="13" s="1"/>
  <c r="D14" i="13" s="1"/>
  <c r="K13" i="13" a="1"/>
  <c r="K13" i="13" s="1"/>
  <c r="J13" i="13" a="1"/>
  <c r="J13" i="13" s="1"/>
  <c r="C13" i="13" a="1"/>
  <c r="C13" i="13" s="1"/>
  <c r="D13" i="13" s="1"/>
  <c r="K12" i="13" a="1"/>
  <c r="K12" i="13" s="1"/>
  <c r="J12" i="13" a="1"/>
  <c r="J12" i="13" s="1"/>
  <c r="B92" i="2"/>
  <c r="B81" i="2" s="1"/>
  <c r="R15" i="3"/>
  <c r="F51" i="7"/>
  <c r="D51" i="7" a="1"/>
  <c r="D51" i="7" s="1"/>
  <c r="D48" i="7" a="1"/>
  <c r="D48" i="7" s="1"/>
  <c r="D49" i="7" a="1"/>
  <c r="D49" i="7" s="1"/>
  <c r="D50" i="7" a="1"/>
  <c r="D50" i="7" s="1"/>
  <c r="F48" i="7"/>
  <c r="F49" i="7"/>
  <c r="F50" i="7"/>
  <c r="F42" i="7"/>
  <c r="F43" i="7"/>
  <c r="F44" i="7"/>
  <c r="F45" i="7"/>
  <c r="F46" i="7"/>
  <c r="F47" i="7"/>
  <c r="E32" i="1" a="1"/>
  <c r="E32" i="1" s="1"/>
  <c r="C32" i="1" a="1"/>
  <c r="C32" i="1" s="1"/>
  <c r="D32" i="1" a="1"/>
  <c r="D32" i="1" s="1"/>
  <c r="G32" i="1" a="1"/>
  <c r="G32" i="1" s="1"/>
  <c r="H32" i="1" a="1"/>
  <c r="H32" i="1" s="1"/>
  <c r="I32" i="1" a="1"/>
  <c r="I32" i="1" s="1"/>
  <c r="J32" i="1" a="1"/>
  <c r="J32" i="1" s="1"/>
  <c r="K32" i="1" a="1"/>
  <c r="K32" i="1" s="1"/>
  <c r="L32" i="1" a="1"/>
  <c r="L32" i="1" s="1"/>
  <c r="M32" i="1" a="1"/>
  <c r="M32" i="1" s="1"/>
  <c r="N32" i="1" a="1"/>
  <c r="N32" i="1" s="1"/>
  <c r="O32" i="1" a="1"/>
  <c r="O32" i="1" s="1"/>
  <c r="P32" i="1" a="1"/>
  <c r="P32" i="1" s="1"/>
  <c r="C33" i="1" a="1"/>
  <c r="C33" i="1" s="1"/>
  <c r="D33" i="1" a="1"/>
  <c r="D33" i="1" s="1"/>
  <c r="E33" i="1" a="1"/>
  <c r="E33" i="1" s="1"/>
  <c r="G33" i="1" a="1"/>
  <c r="G33" i="1" s="1"/>
  <c r="H33" i="1" a="1"/>
  <c r="H33" i="1" s="1"/>
  <c r="I33" i="1" a="1"/>
  <c r="I33" i="1" s="1"/>
  <c r="J33" i="1" a="1"/>
  <c r="J33" i="1" s="1"/>
  <c r="K33" i="1" a="1"/>
  <c r="K33" i="1" s="1"/>
  <c r="L33" i="1" a="1"/>
  <c r="L33" i="1" s="1"/>
  <c r="M33" i="1" a="1"/>
  <c r="M33" i="1" s="1"/>
  <c r="N33" i="1" a="1"/>
  <c r="N33" i="1" s="1"/>
  <c r="O33" i="1" a="1"/>
  <c r="O33" i="1" s="1"/>
  <c r="P33" i="1" a="1"/>
  <c r="P33" i="1" s="1"/>
  <c r="C34" i="1" a="1"/>
  <c r="C34" i="1" s="1"/>
  <c r="D34" i="1" a="1"/>
  <c r="D34" i="1" s="1"/>
  <c r="E34" i="1" a="1"/>
  <c r="E34" i="1" s="1"/>
  <c r="G34" i="1" a="1"/>
  <c r="G34" i="1" s="1"/>
  <c r="H34" i="1" a="1"/>
  <c r="H34" i="1" s="1"/>
  <c r="I34" i="1" a="1"/>
  <c r="I34" i="1" s="1"/>
  <c r="J34" i="1" a="1"/>
  <c r="J34" i="1" s="1"/>
  <c r="K34" i="1" a="1"/>
  <c r="K34" i="1" s="1"/>
  <c r="L34" i="1" a="1"/>
  <c r="L34" i="1" s="1"/>
  <c r="M34" i="1" a="1"/>
  <c r="M34" i="1" s="1"/>
  <c r="N34" i="1" a="1"/>
  <c r="N34" i="1" s="1"/>
  <c r="O34" i="1" a="1"/>
  <c r="O34" i="1" s="1"/>
  <c r="P34" i="1" a="1"/>
  <c r="P34" i="1" s="1"/>
  <c r="F30" i="7"/>
  <c r="F31" i="7"/>
  <c r="F32" i="7"/>
  <c r="F33" i="7"/>
  <c r="F34" i="7"/>
  <c r="F35" i="7"/>
  <c r="F36" i="7"/>
  <c r="F37" i="7"/>
  <c r="F38" i="7"/>
  <c r="F39" i="7"/>
  <c r="F40" i="7"/>
  <c r="F41" i="7"/>
  <c r="F29" i="7"/>
  <c r="D42" i="7" a="1"/>
  <c r="D42" i="7" s="1"/>
  <c r="D43" i="7" a="1"/>
  <c r="D43" i="7" s="1"/>
  <c r="D44" i="7" a="1"/>
  <c r="D44" i="7" s="1"/>
  <c r="D45" i="7" a="1"/>
  <c r="D45" i="7" s="1"/>
  <c r="D46" i="7" a="1"/>
  <c r="D46" i="7" s="1"/>
  <c r="D47" i="7" a="1"/>
  <c r="D47" i="7" s="1"/>
  <c r="F7" i="7"/>
  <c r="F8" i="7"/>
  <c r="F9" i="7"/>
  <c r="F6" i="7"/>
  <c r="D39" i="7" a="1"/>
  <c r="D39" i="7" s="1"/>
  <c r="G39" i="7" s="1"/>
  <c r="D40" i="7" a="1"/>
  <c r="D40" i="7" s="1"/>
  <c r="G40" i="7" s="1"/>
  <c r="D41" i="7" a="1"/>
  <c r="D41" i="7" s="1"/>
  <c r="G41" i="7" s="1"/>
  <c r="D34" i="7" a="1"/>
  <c r="D34" i="7" s="1"/>
  <c r="D35" i="7" a="1"/>
  <c r="D35" i="7" s="1"/>
  <c r="D36" i="7" a="1"/>
  <c r="D36" i="7" s="1"/>
  <c r="G36" i="7" s="1"/>
  <c r="D37" i="7" a="1"/>
  <c r="D37" i="7" s="1"/>
  <c r="G37" i="7" s="1"/>
  <c r="D38" i="7" a="1"/>
  <c r="D38" i="7" s="1"/>
  <c r="G38" i="7" s="1"/>
  <c r="D30" i="7" a="1"/>
  <c r="D30" i="7" s="1"/>
  <c r="G30" i="7" s="1"/>
  <c r="D31" i="7" a="1"/>
  <c r="D31" i="7" s="1"/>
  <c r="G31" i="7" s="1"/>
  <c r="D32" i="7" a="1"/>
  <c r="D32" i="7" s="1"/>
  <c r="G32" i="7" s="1"/>
  <c r="D33" i="7" a="1"/>
  <c r="D33" i="7" s="1"/>
  <c r="D29" i="7" a="1"/>
  <c r="D29" i="7" s="1"/>
  <c r="G29" i="7" s="1"/>
  <c r="G48" i="7" l="1"/>
  <c r="G49" i="7"/>
  <c r="G50" i="7"/>
  <c r="G42" i="7"/>
  <c r="G43" i="7"/>
  <c r="G44" i="7"/>
  <c r="G45" i="7"/>
  <c r="G46" i="7"/>
  <c r="G47" i="7"/>
  <c r="F102" i="13"/>
  <c r="D102" i="13"/>
  <c r="F12" i="13"/>
  <c r="D12" i="13"/>
  <c r="H103" i="13"/>
  <c r="I103" i="13"/>
  <c r="F103" i="13"/>
  <c r="H104" i="13"/>
  <c r="I104" i="13"/>
  <c r="F104" i="13"/>
  <c r="H105" i="13"/>
  <c r="I105" i="13"/>
  <c r="F105" i="13"/>
  <c r="H106" i="13"/>
  <c r="I106" i="13"/>
  <c r="F106" i="13"/>
  <c r="H107" i="13"/>
  <c r="I107" i="13"/>
  <c r="F107" i="13"/>
  <c r="I108" i="13"/>
  <c r="F108" i="13"/>
  <c r="H108" i="13"/>
  <c r="H36" i="13"/>
  <c r="I36" i="13"/>
  <c r="H37" i="13"/>
  <c r="I37" i="13"/>
  <c r="I38" i="13"/>
  <c r="H38" i="13"/>
  <c r="H39" i="13"/>
  <c r="I39" i="13"/>
  <c r="I40" i="13"/>
  <c r="H40" i="13"/>
  <c r="H41" i="13"/>
  <c r="I41" i="13"/>
  <c r="H42" i="13"/>
  <c r="I42" i="13"/>
  <c r="H43" i="13"/>
  <c r="I43" i="13"/>
  <c r="I44" i="13"/>
  <c r="H44" i="13"/>
  <c r="F44" i="13"/>
  <c r="H45" i="13"/>
  <c r="F45" i="13"/>
  <c r="I45" i="13"/>
  <c r="I46" i="13"/>
  <c r="H46" i="13"/>
  <c r="F46" i="13"/>
  <c r="F39" i="13"/>
  <c r="F40" i="13"/>
  <c r="F41" i="13"/>
  <c r="F42" i="13"/>
  <c r="F43" i="13"/>
  <c r="F35" i="13"/>
  <c r="I35" i="13"/>
  <c r="H35" i="13"/>
  <c r="F36" i="13"/>
  <c r="F37" i="13"/>
  <c r="F38" i="13"/>
  <c r="F34" i="13"/>
  <c r="H34" i="13"/>
  <c r="I34" i="13"/>
  <c r="F33" i="13"/>
  <c r="H33" i="13"/>
  <c r="I33" i="13"/>
  <c r="F32" i="13"/>
  <c r="H32" i="13"/>
  <c r="I32" i="13"/>
  <c r="F31" i="13"/>
  <c r="H31" i="13"/>
  <c r="I31" i="13"/>
  <c r="F30" i="13"/>
  <c r="I30" i="13"/>
  <c r="H30" i="13"/>
  <c r="F29" i="13"/>
  <c r="H29" i="13"/>
  <c r="I29" i="13"/>
  <c r="F28" i="13"/>
  <c r="H28" i="13"/>
  <c r="I28" i="13"/>
  <c r="F27" i="13"/>
  <c r="H27" i="13"/>
  <c r="I27" i="13"/>
  <c r="F26" i="13"/>
  <c r="H26" i="13"/>
  <c r="I26" i="13"/>
  <c r="H25" i="13"/>
  <c r="F25" i="13"/>
  <c r="I25" i="13"/>
  <c r="F24" i="13"/>
  <c r="H24" i="13"/>
  <c r="I24" i="13"/>
  <c r="H23" i="13"/>
  <c r="I23" i="13"/>
  <c r="F23" i="13"/>
  <c r="F22" i="13"/>
  <c r="H22" i="13"/>
  <c r="I22" i="13"/>
  <c r="F21" i="13"/>
  <c r="H21" i="13"/>
  <c r="I21" i="13"/>
  <c r="F20" i="13"/>
  <c r="H20" i="13"/>
  <c r="I20" i="13"/>
  <c r="F19" i="13"/>
  <c r="H19" i="13"/>
  <c r="I19" i="13"/>
  <c r="I18" i="13"/>
  <c r="F18" i="13"/>
  <c r="H18" i="13"/>
  <c r="F17" i="13"/>
  <c r="H17" i="13"/>
  <c r="I17" i="13"/>
  <c r="F16" i="13"/>
  <c r="H16" i="13"/>
  <c r="I16" i="13"/>
  <c r="F15" i="13"/>
  <c r="H15" i="13"/>
  <c r="I15" i="13"/>
  <c r="F14" i="13"/>
  <c r="H14" i="13"/>
  <c r="I14" i="13"/>
  <c r="F13" i="13"/>
  <c r="H13" i="13"/>
  <c r="I13" i="13"/>
  <c r="B4" i="13"/>
  <c r="G33" i="7"/>
  <c r="G51" i="7"/>
  <c r="G35" i="7"/>
  <c r="G34" i="7"/>
  <c r="B95" i="13" l="1"/>
  <c r="B93" i="13"/>
  <c r="I102" i="13"/>
  <c r="H102" i="13"/>
  <c r="B6" i="13"/>
  <c r="B5" i="13" s="1"/>
  <c r="H12" i="13"/>
  <c r="I12" i="13"/>
  <c r="G103" i="13"/>
  <c r="B100" i="13"/>
  <c r="E94" i="13" s="1"/>
  <c r="E95" i="13" s="1"/>
  <c r="B10" i="13"/>
  <c r="G12" i="13" s="1"/>
  <c r="B47" i="13"/>
  <c r="B3" i="13" s="1"/>
  <c r="G102" i="13"/>
  <c r="O121" i="6"/>
  <c r="O122" i="6"/>
  <c r="O123" i="6"/>
  <c r="O124" i="6"/>
  <c r="O125" i="6"/>
  <c r="O126" i="6"/>
  <c r="O120" i="6"/>
  <c r="O127" i="6"/>
  <c r="O128" i="6"/>
  <c r="D129" i="6"/>
  <c r="E129" i="6"/>
  <c r="F129" i="6"/>
  <c r="G129" i="6"/>
  <c r="H129" i="6"/>
  <c r="I129" i="6"/>
  <c r="J129" i="6"/>
  <c r="K129" i="6"/>
  <c r="L129" i="6"/>
  <c r="M129" i="6"/>
  <c r="N129" i="6"/>
  <c r="C129" i="6"/>
  <c r="O108" i="6"/>
  <c r="O109" i="6"/>
  <c r="O110" i="6"/>
  <c r="O111" i="6"/>
  <c r="O112" i="6"/>
  <c r="O113" i="6"/>
  <c r="O114" i="6"/>
  <c r="O115" i="6"/>
  <c r="O107" i="6"/>
  <c r="D116" i="6"/>
  <c r="E116" i="6"/>
  <c r="F116" i="6"/>
  <c r="G116" i="6"/>
  <c r="H116" i="6"/>
  <c r="I116" i="6"/>
  <c r="J116" i="6"/>
  <c r="K116" i="6"/>
  <c r="L116" i="6"/>
  <c r="M116" i="6"/>
  <c r="N116" i="6"/>
  <c r="C116" i="6"/>
  <c r="O96" i="6"/>
  <c r="O97" i="6"/>
  <c r="O98" i="6"/>
  <c r="O99" i="6"/>
  <c r="O100" i="6"/>
  <c r="O101" i="6"/>
  <c r="O102" i="6"/>
  <c r="O95" i="6"/>
  <c r="D103" i="6"/>
  <c r="E103" i="6"/>
  <c r="F103" i="6"/>
  <c r="G103" i="6"/>
  <c r="H103" i="6"/>
  <c r="I103" i="6"/>
  <c r="J103" i="6"/>
  <c r="K103" i="6"/>
  <c r="L103" i="6"/>
  <c r="M103" i="6"/>
  <c r="N103" i="6"/>
  <c r="C103" i="6"/>
  <c r="C104" i="6" s="1"/>
  <c r="O83" i="6"/>
  <c r="O84" i="6"/>
  <c r="O85" i="6"/>
  <c r="O86" i="6"/>
  <c r="O87" i="6"/>
  <c r="O88" i="6"/>
  <c r="O89" i="6"/>
  <c r="O90" i="6"/>
  <c r="O82" i="6"/>
  <c r="D91" i="6"/>
  <c r="E91" i="6"/>
  <c r="F91" i="6"/>
  <c r="G91" i="6"/>
  <c r="H91" i="6"/>
  <c r="I91" i="6"/>
  <c r="J91" i="6"/>
  <c r="K91" i="6"/>
  <c r="L91" i="6"/>
  <c r="M91" i="6"/>
  <c r="N91" i="6"/>
  <c r="C91" i="6"/>
  <c r="C78" i="6"/>
  <c r="O70" i="6"/>
  <c r="O71" i="6"/>
  <c r="O72" i="6"/>
  <c r="O73" i="6"/>
  <c r="O74" i="6"/>
  <c r="O75" i="6"/>
  <c r="O76" i="6"/>
  <c r="O77" i="6"/>
  <c r="O69" i="6"/>
  <c r="D78" i="6"/>
  <c r="E78" i="6"/>
  <c r="F78" i="6"/>
  <c r="G78" i="6"/>
  <c r="H78" i="6"/>
  <c r="I78" i="6"/>
  <c r="J78" i="6"/>
  <c r="K78" i="6"/>
  <c r="L78" i="6"/>
  <c r="M78" i="6"/>
  <c r="N78" i="6"/>
  <c r="O60" i="6"/>
  <c r="O61" i="6"/>
  <c r="O62" i="6"/>
  <c r="O63" i="6"/>
  <c r="O64" i="6"/>
  <c r="O59" i="6"/>
  <c r="N39" i="6"/>
  <c r="D65" i="6"/>
  <c r="E65" i="6"/>
  <c r="F65" i="6"/>
  <c r="G65" i="6"/>
  <c r="H65" i="6"/>
  <c r="I65" i="6"/>
  <c r="J65" i="6"/>
  <c r="K65" i="6"/>
  <c r="L65" i="6"/>
  <c r="M65" i="6"/>
  <c r="N65" i="6"/>
  <c r="C65" i="6"/>
  <c r="O44" i="6"/>
  <c r="O45" i="6"/>
  <c r="O46" i="6"/>
  <c r="O48" i="6"/>
  <c r="O49" i="6"/>
  <c r="O50" i="6"/>
  <c r="O51" i="6"/>
  <c r="O52" i="6"/>
  <c r="O53" i="6"/>
  <c r="O54" i="6"/>
  <c r="O43" i="6"/>
  <c r="C55" i="6"/>
  <c r="D55" i="6"/>
  <c r="E55" i="6"/>
  <c r="F55" i="6"/>
  <c r="G55" i="6"/>
  <c r="H55" i="6"/>
  <c r="I55" i="6"/>
  <c r="J55" i="6"/>
  <c r="K55" i="6"/>
  <c r="L55" i="6"/>
  <c r="M55" i="6"/>
  <c r="N55" i="6"/>
  <c r="O33" i="6"/>
  <c r="O34" i="6"/>
  <c r="O35" i="6"/>
  <c r="O36" i="6"/>
  <c r="O37" i="6"/>
  <c r="O38" i="6"/>
  <c r="O32" i="6"/>
  <c r="D39" i="6"/>
  <c r="E39" i="6"/>
  <c r="F39" i="6"/>
  <c r="G39" i="6"/>
  <c r="H39" i="6"/>
  <c r="I39" i="6"/>
  <c r="J39" i="6"/>
  <c r="K39" i="6"/>
  <c r="L39" i="6"/>
  <c r="M39" i="6"/>
  <c r="C39" i="6"/>
  <c r="D28" i="6"/>
  <c r="E28" i="6"/>
  <c r="F28" i="6"/>
  <c r="G28" i="6"/>
  <c r="H28" i="6"/>
  <c r="I28" i="6"/>
  <c r="J28" i="6"/>
  <c r="K28" i="6"/>
  <c r="L28" i="6"/>
  <c r="M28" i="6"/>
  <c r="N28" i="6"/>
  <c r="C28" i="6"/>
  <c r="C15" i="6"/>
  <c r="O21" i="6"/>
  <c r="O22" i="6"/>
  <c r="O23" i="6"/>
  <c r="O24" i="6"/>
  <c r="O25" i="6"/>
  <c r="O26" i="6"/>
  <c r="O27" i="6"/>
  <c r="O20" i="6"/>
  <c r="E15" i="6"/>
  <c r="F15" i="6"/>
  <c r="G15" i="6"/>
  <c r="H15" i="6"/>
  <c r="I15" i="6"/>
  <c r="J15" i="6"/>
  <c r="K15" i="6"/>
  <c r="L15" i="6"/>
  <c r="M15" i="6"/>
  <c r="N15" i="6"/>
  <c r="D15" i="6"/>
  <c r="O7" i="6"/>
  <c r="O8" i="6"/>
  <c r="O9" i="6"/>
  <c r="O10" i="6"/>
  <c r="O11" i="6"/>
  <c r="O12" i="6"/>
  <c r="O13" i="6"/>
  <c r="O14" i="6"/>
  <c r="O6" i="6"/>
  <c r="M5" i="1" a="1"/>
  <c r="M5" i="1" s="1"/>
  <c r="N5" i="1" a="1"/>
  <c r="N5" i="1" s="1"/>
  <c r="O5" i="1" a="1"/>
  <c r="O5" i="1" s="1"/>
  <c r="P5" i="1" a="1"/>
  <c r="P5" i="1" s="1"/>
  <c r="L5" i="1" a="1"/>
  <c r="L5" i="1" s="1"/>
  <c r="K5" i="1" a="1"/>
  <c r="K5" i="1" s="1"/>
  <c r="J5" i="1" a="1"/>
  <c r="J5" i="1" s="1"/>
  <c r="I5" i="1" a="1"/>
  <c r="I5" i="1" s="1"/>
  <c r="H5" i="1" a="1"/>
  <c r="H5" i="1" s="1"/>
  <c r="G5" i="1" a="1"/>
  <c r="G5" i="1" s="1"/>
  <c r="E5" i="1" a="1"/>
  <c r="E5" i="1" s="1"/>
  <c r="D5" i="1" a="1"/>
  <c r="D5" i="1" s="1"/>
  <c r="C5" i="1" a="1"/>
  <c r="C5" i="1" s="1"/>
  <c r="P25" i="1" a="1"/>
  <c r="P25" i="1" s="1"/>
  <c r="P26" i="1" a="1"/>
  <c r="P26" i="1" s="1"/>
  <c r="P27" i="1" a="1"/>
  <c r="P27" i="1" s="1"/>
  <c r="P28" i="1" a="1"/>
  <c r="P28" i="1" s="1"/>
  <c r="P29" i="1" a="1"/>
  <c r="P29" i="1" s="1"/>
  <c r="P30" i="1" a="1"/>
  <c r="P30" i="1" s="1"/>
  <c r="P31" i="1" a="1"/>
  <c r="P31" i="1" s="1"/>
  <c r="O25" i="1" a="1"/>
  <c r="O25" i="1" s="1"/>
  <c r="O26" i="1" a="1"/>
  <c r="O26" i="1" s="1"/>
  <c r="O27" i="1" a="1"/>
  <c r="O27" i="1" s="1"/>
  <c r="O28" i="1" a="1"/>
  <c r="O28" i="1" s="1"/>
  <c r="O29" i="1" a="1"/>
  <c r="O29" i="1" s="1"/>
  <c r="O30" i="1" a="1"/>
  <c r="O30" i="1" s="1"/>
  <c r="O31" i="1" a="1"/>
  <c r="O31" i="1" s="1"/>
  <c r="N25" i="1" a="1"/>
  <c r="N25" i="1" s="1"/>
  <c r="N26" i="1" a="1"/>
  <c r="N26" i="1" s="1"/>
  <c r="N27" i="1" a="1"/>
  <c r="N27" i="1" s="1"/>
  <c r="N28" i="1" a="1"/>
  <c r="N28" i="1" s="1"/>
  <c r="N29" i="1" a="1"/>
  <c r="N29" i="1" s="1"/>
  <c r="N30" i="1" a="1"/>
  <c r="N30" i="1" s="1"/>
  <c r="N31" i="1" a="1"/>
  <c r="N31" i="1" s="1"/>
  <c r="M25" i="1" a="1"/>
  <c r="M25" i="1" s="1"/>
  <c r="M26" i="1" a="1"/>
  <c r="M26" i="1" s="1"/>
  <c r="M27" i="1" a="1"/>
  <c r="M27" i="1" s="1"/>
  <c r="M28" i="1" a="1"/>
  <c r="M28" i="1" s="1"/>
  <c r="M29" i="1" a="1"/>
  <c r="M29" i="1" s="1"/>
  <c r="M30" i="1" a="1"/>
  <c r="M30" i="1" s="1"/>
  <c r="M31" i="1" a="1"/>
  <c r="M31" i="1" s="1"/>
  <c r="L25" i="1" a="1"/>
  <c r="L25" i="1" s="1"/>
  <c r="L26" i="1" a="1"/>
  <c r="L26" i="1" s="1"/>
  <c r="L27" i="1" a="1"/>
  <c r="L27" i="1" s="1"/>
  <c r="L28" i="1" a="1"/>
  <c r="L28" i="1" s="1"/>
  <c r="L29" i="1" a="1"/>
  <c r="L29" i="1" s="1"/>
  <c r="L30" i="1" a="1"/>
  <c r="L30" i="1" s="1"/>
  <c r="L31" i="1" a="1"/>
  <c r="L31" i="1" s="1"/>
  <c r="K25" i="1" a="1"/>
  <c r="K25" i="1" s="1"/>
  <c r="K26" i="1" a="1"/>
  <c r="K26" i="1" s="1"/>
  <c r="K27" i="1" a="1"/>
  <c r="K27" i="1" s="1"/>
  <c r="K28" i="1" a="1"/>
  <c r="K28" i="1" s="1"/>
  <c r="K29" i="1" a="1"/>
  <c r="K29" i="1" s="1"/>
  <c r="K30" i="1" a="1"/>
  <c r="K30" i="1" s="1"/>
  <c r="K31" i="1" a="1"/>
  <c r="K31" i="1" s="1"/>
  <c r="J25" i="1" a="1"/>
  <c r="J25" i="1" s="1"/>
  <c r="J26" i="1" a="1"/>
  <c r="J26" i="1" s="1"/>
  <c r="J27" i="1" a="1"/>
  <c r="J27" i="1" s="1"/>
  <c r="J28" i="1" a="1"/>
  <c r="J28" i="1" s="1"/>
  <c r="J29" i="1" a="1"/>
  <c r="J29" i="1" s="1"/>
  <c r="J30" i="1" a="1"/>
  <c r="J30" i="1" s="1"/>
  <c r="J31" i="1" a="1"/>
  <c r="J31" i="1" s="1"/>
  <c r="I25" i="1" a="1"/>
  <c r="I25" i="1" s="1"/>
  <c r="I26" i="1" a="1"/>
  <c r="I26" i="1" s="1"/>
  <c r="I27" i="1" a="1"/>
  <c r="I27" i="1" s="1"/>
  <c r="I28" i="1" a="1"/>
  <c r="I28" i="1" s="1"/>
  <c r="I29" i="1" a="1"/>
  <c r="I29" i="1" s="1"/>
  <c r="I30" i="1" a="1"/>
  <c r="I30" i="1" s="1"/>
  <c r="I31" i="1" a="1"/>
  <c r="I31" i="1" s="1"/>
  <c r="H25" i="1" a="1"/>
  <c r="H25" i="1" s="1"/>
  <c r="H26" i="1" a="1"/>
  <c r="H26" i="1" s="1"/>
  <c r="H27" i="1" a="1"/>
  <c r="H27" i="1" s="1"/>
  <c r="H28" i="1" a="1"/>
  <c r="H28" i="1" s="1"/>
  <c r="H29" i="1" a="1"/>
  <c r="H29" i="1" s="1"/>
  <c r="H30" i="1" a="1"/>
  <c r="H30" i="1" s="1"/>
  <c r="H31" i="1" a="1"/>
  <c r="H31" i="1" s="1"/>
  <c r="G25" i="1" a="1"/>
  <c r="G25" i="1" s="1"/>
  <c r="G26" i="1" a="1"/>
  <c r="G26" i="1" s="1"/>
  <c r="G27" i="1" a="1"/>
  <c r="G27" i="1" s="1"/>
  <c r="G28" i="1" a="1"/>
  <c r="G28" i="1" s="1"/>
  <c r="G29" i="1" a="1"/>
  <c r="G29" i="1" s="1"/>
  <c r="G30" i="1" a="1"/>
  <c r="G30" i="1" s="1"/>
  <c r="G31" i="1" a="1"/>
  <c r="G31" i="1" s="1"/>
  <c r="E25" i="1" a="1"/>
  <c r="E25" i="1" s="1"/>
  <c r="E26" i="1" a="1"/>
  <c r="E26" i="1" s="1"/>
  <c r="E27" i="1" a="1"/>
  <c r="E27" i="1" s="1"/>
  <c r="E28" i="1" a="1"/>
  <c r="E28" i="1" s="1"/>
  <c r="E29" i="1" a="1"/>
  <c r="E29" i="1" s="1"/>
  <c r="E30" i="1" a="1"/>
  <c r="E30" i="1" s="1"/>
  <c r="E31" i="1" a="1"/>
  <c r="E31" i="1" s="1"/>
  <c r="D25" i="1" a="1"/>
  <c r="D25" i="1" s="1"/>
  <c r="D26" i="1" a="1"/>
  <c r="D26" i="1" s="1"/>
  <c r="D27" i="1" a="1"/>
  <c r="D27" i="1" s="1"/>
  <c r="D28" i="1" a="1"/>
  <c r="D28" i="1" s="1"/>
  <c r="D29" i="1" a="1"/>
  <c r="D29" i="1" s="1"/>
  <c r="D30" i="1" a="1"/>
  <c r="D30" i="1" s="1"/>
  <c r="D31" i="1" a="1"/>
  <c r="D31" i="1" s="1"/>
  <c r="C25" i="1" a="1"/>
  <c r="C25" i="1" s="1"/>
  <c r="C26" i="1" a="1"/>
  <c r="C26" i="1" s="1"/>
  <c r="C27" i="1" a="1"/>
  <c r="C27" i="1" s="1"/>
  <c r="C28" i="1" a="1"/>
  <c r="C28" i="1" s="1"/>
  <c r="C29" i="1" a="1"/>
  <c r="C29" i="1" s="1"/>
  <c r="C30" i="1" a="1"/>
  <c r="C30" i="1" s="1"/>
  <c r="C31" i="1" a="1"/>
  <c r="C31" i="1" s="1"/>
  <c r="M29" i="4"/>
  <c r="I28" i="4"/>
  <c r="G105" i="13" l="1"/>
  <c r="G104" i="13"/>
  <c r="B110" i="13"/>
  <c r="B94" i="13" s="1"/>
  <c r="E93" i="13"/>
  <c r="G108" i="13"/>
  <c r="G107" i="13"/>
  <c r="G106" i="13"/>
  <c r="G44" i="13"/>
  <c r="E3" i="13"/>
  <c r="E4" i="13" s="1"/>
  <c r="E5" i="13" s="1"/>
  <c r="G45" i="13"/>
  <c r="G46" i="13"/>
  <c r="C29" i="6"/>
  <c r="D138" i="6"/>
  <c r="F138" i="6"/>
  <c r="M138" i="6"/>
  <c r="E138" i="6"/>
  <c r="L138" i="6"/>
  <c r="N138" i="6"/>
  <c r="C138" i="6"/>
  <c r="J138" i="6"/>
  <c r="K138" i="6"/>
  <c r="I138" i="6"/>
  <c r="G138" i="6"/>
  <c r="G39" i="13"/>
  <c r="G41" i="13"/>
  <c r="G40" i="13"/>
  <c r="G43" i="13"/>
  <c r="G42" i="13"/>
  <c r="G35" i="13"/>
  <c r="G36" i="13"/>
  <c r="G37" i="13"/>
  <c r="G38" i="13"/>
  <c r="G33" i="13"/>
  <c r="G16" i="13"/>
  <c r="G17" i="13"/>
  <c r="G18" i="13"/>
  <c r="G27" i="13"/>
  <c r="G13" i="13"/>
  <c r="G14" i="13"/>
  <c r="G15" i="13"/>
  <c r="G19" i="13"/>
  <c r="G28" i="13"/>
  <c r="G20" i="13"/>
  <c r="G21" i="13"/>
  <c r="G22" i="13"/>
  <c r="G23" i="13"/>
  <c r="G24" i="13"/>
  <c r="G25" i="13"/>
  <c r="G29" i="13"/>
  <c r="G30" i="13"/>
  <c r="G26" i="13"/>
  <c r="G31" i="13"/>
  <c r="G32" i="13"/>
  <c r="G34" i="13"/>
  <c r="H138" i="6"/>
  <c r="H135" i="6"/>
  <c r="J135" i="6"/>
  <c r="K135" i="6"/>
  <c r="I135" i="6"/>
  <c r="E135" i="6"/>
  <c r="N135" i="6"/>
  <c r="L135" i="6"/>
  <c r="M135" i="6"/>
  <c r="F135" i="6"/>
  <c r="G135" i="6"/>
  <c r="D135" i="6"/>
  <c r="O15" i="6"/>
  <c r="O65" i="6"/>
  <c r="C135" i="6"/>
  <c r="C130" i="6"/>
  <c r="O129" i="6"/>
  <c r="C117" i="6"/>
  <c r="O116" i="6"/>
  <c r="O103" i="6"/>
  <c r="C92" i="6"/>
  <c r="O91" i="6"/>
  <c r="O78" i="6"/>
  <c r="C79" i="6"/>
  <c r="C66" i="6"/>
  <c r="C56" i="6"/>
  <c r="C40" i="6"/>
  <c r="O55" i="6"/>
  <c r="O28" i="6"/>
  <c r="O39" i="6"/>
  <c r="C16" i="6"/>
  <c r="K89" i="2" a="1"/>
  <c r="K89" i="2" s="1"/>
  <c r="J89" i="2" a="1"/>
  <c r="J89" i="2" s="1"/>
  <c r="K12" i="2" a="1"/>
  <c r="K12" i="2" s="1"/>
  <c r="J12" i="2" a="1"/>
  <c r="J12" i="2" s="1"/>
  <c r="J13" i="2" a="1"/>
  <c r="J13" i="2" s="1"/>
  <c r="J14" i="2" a="1"/>
  <c r="J14" i="2" s="1"/>
  <c r="J15" i="2" a="1"/>
  <c r="J15" i="2" s="1"/>
  <c r="J16" i="2" a="1"/>
  <c r="J16" i="2" s="1"/>
  <c r="J17" i="2" a="1"/>
  <c r="J17" i="2" s="1"/>
  <c r="J18" i="2" a="1"/>
  <c r="J18" i="2" s="1"/>
  <c r="J19" i="2" a="1"/>
  <c r="J19" i="2" s="1"/>
  <c r="J20" i="2" a="1"/>
  <c r="J20" i="2" s="1"/>
  <c r="J21" i="2" a="1"/>
  <c r="J21" i="2" s="1"/>
  <c r="J22" i="2" a="1"/>
  <c r="J22" i="2" s="1"/>
  <c r="J23" i="2" a="1"/>
  <c r="J23" i="2" s="1"/>
  <c r="J24" i="2" a="1"/>
  <c r="J24" i="2" s="1"/>
  <c r="J25" i="2" a="1"/>
  <c r="J25" i="2" s="1"/>
  <c r="J26" i="2" a="1"/>
  <c r="J26" i="2" s="1"/>
  <c r="J27" i="2" a="1"/>
  <c r="J27" i="2" s="1"/>
  <c r="J28" i="2" a="1"/>
  <c r="J28" i="2" s="1"/>
  <c r="J29" i="2" a="1"/>
  <c r="J29" i="2" s="1"/>
  <c r="J30" i="2" a="1"/>
  <c r="J30" i="2" s="1"/>
  <c r="J31" i="2" a="1"/>
  <c r="J31" i="2" s="1"/>
  <c r="J32" i="2" a="1"/>
  <c r="J32" i="2" s="1"/>
  <c r="J33" i="2" a="1"/>
  <c r="J33" i="2" s="1"/>
  <c r="J34" i="2" a="1"/>
  <c r="J34"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L6" i="1" a="1"/>
  <c r="L6" i="1" s="1"/>
  <c r="A10" i="2"/>
  <c r="C13" i="2" a="1"/>
  <c r="C13" i="2" s="1"/>
  <c r="D13" i="2" s="1"/>
  <c r="H13" i="2" s="1"/>
  <c r="C14" i="2" a="1"/>
  <c r="C14" i="2" s="1"/>
  <c r="D14" i="2" s="1"/>
  <c r="H14" i="2" s="1"/>
  <c r="C15" i="2" a="1"/>
  <c r="C15" i="2" s="1"/>
  <c r="D15" i="2" s="1"/>
  <c r="H15" i="2" s="1"/>
  <c r="C16" i="2" a="1"/>
  <c r="C16" i="2" s="1"/>
  <c r="D16" i="2" s="1"/>
  <c r="H16" i="2" s="1"/>
  <c r="C17" i="2" a="1"/>
  <c r="C17" i="2" s="1"/>
  <c r="D17" i="2" s="1"/>
  <c r="H17" i="2" s="1"/>
  <c r="C18" i="2" a="1"/>
  <c r="C18" i="2" s="1"/>
  <c r="D18" i="2" s="1"/>
  <c r="H18" i="2" s="1"/>
  <c r="C19" i="2" a="1"/>
  <c r="C19" i="2" s="1"/>
  <c r="D19" i="2" s="1"/>
  <c r="H19" i="2" s="1"/>
  <c r="C20" i="2" a="1"/>
  <c r="C20" i="2" s="1"/>
  <c r="D20" i="2" s="1"/>
  <c r="H20" i="2" s="1"/>
  <c r="C21" i="2" a="1"/>
  <c r="C21" i="2" s="1"/>
  <c r="D21" i="2" s="1"/>
  <c r="H21" i="2" s="1"/>
  <c r="C22" i="2" a="1"/>
  <c r="C22" i="2" s="1"/>
  <c r="D22" i="2" s="1"/>
  <c r="H22" i="2" s="1"/>
  <c r="C23" i="2" a="1"/>
  <c r="C23" i="2" s="1"/>
  <c r="D23" i="2" s="1"/>
  <c r="H23" i="2" s="1"/>
  <c r="C24" i="2" a="1"/>
  <c r="C24" i="2" s="1"/>
  <c r="D24" i="2" s="1"/>
  <c r="H24" i="2" s="1"/>
  <c r="C25" i="2" a="1"/>
  <c r="C25" i="2" s="1"/>
  <c r="D25" i="2" s="1"/>
  <c r="H25" i="2" s="1"/>
  <c r="C26" i="2" a="1"/>
  <c r="C26" i="2" s="1"/>
  <c r="D26" i="2" s="1"/>
  <c r="H26" i="2" s="1"/>
  <c r="C27" i="2" a="1"/>
  <c r="C27" i="2" s="1"/>
  <c r="D27" i="2" s="1"/>
  <c r="H27" i="2" s="1"/>
  <c r="C28" i="2" a="1"/>
  <c r="C28" i="2" s="1"/>
  <c r="D28" i="2" s="1"/>
  <c r="H28" i="2" s="1"/>
  <c r="C29" i="2" a="1"/>
  <c r="C29" i="2" s="1"/>
  <c r="D29" i="2" s="1"/>
  <c r="H29" i="2" s="1"/>
  <c r="C30" i="2" a="1"/>
  <c r="C30" i="2" s="1"/>
  <c r="D30" i="2" s="1"/>
  <c r="H30" i="2" s="1"/>
  <c r="C31" i="2" a="1"/>
  <c r="C31" i="2" s="1"/>
  <c r="D31" i="2" s="1"/>
  <c r="H31" i="2" s="1"/>
  <c r="C32" i="2" a="1"/>
  <c r="C32" i="2" s="1"/>
  <c r="D32" i="2" s="1"/>
  <c r="H32" i="2" s="1"/>
  <c r="C33" i="2" a="1"/>
  <c r="C33" i="2" s="1"/>
  <c r="D33" i="2" s="1"/>
  <c r="H33" i="2" s="1"/>
  <c r="C34" i="2" a="1"/>
  <c r="C34" i="2" s="1"/>
  <c r="D34" i="2" s="1"/>
  <c r="H34" i="2" s="1"/>
  <c r="C12" i="2" a="1"/>
  <c r="C12" i="2" s="1"/>
  <c r="G33" i="3"/>
  <c r="D18" i="3"/>
  <c r="D17" i="3"/>
  <c r="D16" i="3"/>
  <c r="A3" i="3"/>
  <c r="H46" i="4"/>
  <c r="N29" i="4"/>
  <c r="E30" i="4"/>
  <c r="B30" i="4"/>
  <c r="B15" i="4"/>
  <c r="C43" i="4" s="1"/>
  <c r="B43" i="4" s="1"/>
  <c r="P3" i="1" a="1"/>
  <c r="P3" i="1" s="1"/>
  <c r="P4" i="1" a="1"/>
  <c r="P4" i="1" s="1"/>
  <c r="P7" i="1" a="1"/>
  <c r="P7" i="1" s="1"/>
  <c r="P8" i="1" a="1"/>
  <c r="P8" i="1" s="1"/>
  <c r="P9" i="1" a="1"/>
  <c r="P9" i="1" s="1"/>
  <c r="P10" i="1" a="1"/>
  <c r="P10" i="1" s="1"/>
  <c r="P11" i="1" a="1"/>
  <c r="P11" i="1" s="1"/>
  <c r="P12" i="1" a="1"/>
  <c r="P12" i="1" s="1"/>
  <c r="P13" i="1" a="1"/>
  <c r="P13" i="1" s="1"/>
  <c r="P14" i="1" a="1"/>
  <c r="P14" i="1" s="1"/>
  <c r="P15" i="1" a="1"/>
  <c r="P15" i="1" s="1"/>
  <c r="P16" i="1" a="1"/>
  <c r="P16" i="1" s="1"/>
  <c r="P17" i="1" a="1"/>
  <c r="P17" i="1" s="1"/>
  <c r="P18" i="1" a="1"/>
  <c r="P18" i="1" s="1"/>
  <c r="P19" i="1" a="1"/>
  <c r="P19" i="1" s="1"/>
  <c r="P20" i="1" a="1"/>
  <c r="P20" i="1" s="1"/>
  <c r="P21" i="1" a="1"/>
  <c r="P21" i="1" s="1"/>
  <c r="P22" i="1" a="1"/>
  <c r="P22" i="1" s="1"/>
  <c r="P23" i="1" a="1"/>
  <c r="P23" i="1" s="1"/>
  <c r="P24" i="1" a="1"/>
  <c r="P24" i="1" s="1"/>
  <c r="P2" i="1" a="1"/>
  <c r="P2" i="1" s="1"/>
  <c r="K3" i="1" a="1"/>
  <c r="K3" i="1" s="1"/>
  <c r="K4" i="1" a="1"/>
  <c r="K4" i="1" s="1"/>
  <c r="K6" i="1" a="1"/>
  <c r="K6" i="1" s="1"/>
  <c r="K7" i="1" a="1"/>
  <c r="K7" i="1" s="1"/>
  <c r="K8" i="1" a="1"/>
  <c r="K8" i="1" s="1"/>
  <c r="K9" i="1" a="1"/>
  <c r="K9" i="1" s="1"/>
  <c r="K10" i="1" a="1"/>
  <c r="K10" i="1" s="1"/>
  <c r="K11" i="1" a="1"/>
  <c r="K11" i="1" s="1"/>
  <c r="K12" i="1" a="1"/>
  <c r="K12" i="1" s="1"/>
  <c r="K13" i="1" a="1"/>
  <c r="K13" i="1" s="1"/>
  <c r="K14" i="1" a="1"/>
  <c r="K14" i="1" s="1"/>
  <c r="K15" i="1" a="1"/>
  <c r="K15" i="1" s="1"/>
  <c r="K16" i="1" a="1"/>
  <c r="K16" i="1" s="1"/>
  <c r="K17" i="1" a="1"/>
  <c r="K17" i="1" s="1"/>
  <c r="K18" i="1" a="1"/>
  <c r="K18" i="1" s="1"/>
  <c r="K19" i="1" a="1"/>
  <c r="K19" i="1" s="1"/>
  <c r="K20" i="1" a="1"/>
  <c r="K20" i="1" s="1"/>
  <c r="K21" i="1" a="1"/>
  <c r="K21" i="1" s="1"/>
  <c r="K22" i="1" a="1"/>
  <c r="K22" i="1" s="1"/>
  <c r="K23" i="1" a="1"/>
  <c r="K23" i="1" s="1"/>
  <c r="K24" i="1" a="1"/>
  <c r="K24" i="1" s="1"/>
  <c r="K2" i="1" a="1"/>
  <c r="K2" i="1" s="1"/>
  <c r="B2" i="1" a="1"/>
  <c r="B2" i="1" s="1"/>
  <c r="C2" i="1" a="1"/>
  <c r="C2" i="1" s="1"/>
  <c r="D2" i="1" a="1"/>
  <c r="D2" i="1" s="1"/>
  <c r="E2" i="1" a="1"/>
  <c r="E2" i="1" s="1"/>
  <c r="G2" i="1" a="1"/>
  <c r="G2" i="1" s="1"/>
  <c r="H2" i="1" a="1"/>
  <c r="H2" i="1" s="1"/>
  <c r="I2" i="1" a="1"/>
  <c r="I2" i="1" s="1"/>
  <c r="J2" i="1" a="1"/>
  <c r="J2" i="1" s="1"/>
  <c r="L2" i="1" a="1"/>
  <c r="L2" i="1" s="1"/>
  <c r="M2" i="1" a="1"/>
  <c r="M2" i="1" s="1"/>
  <c r="N2" i="1" a="1"/>
  <c r="N2" i="1" s="1"/>
  <c r="O2" i="1" a="1"/>
  <c r="O2" i="1" s="1"/>
  <c r="C24" i="1" a="1"/>
  <c r="C24" i="1" s="1"/>
  <c r="D24" i="1" a="1"/>
  <c r="D24" i="1" s="1"/>
  <c r="E24" i="1" a="1"/>
  <c r="E24" i="1" s="1"/>
  <c r="G24" i="1" a="1"/>
  <c r="G24" i="1" s="1"/>
  <c r="H24" i="1" a="1"/>
  <c r="H24" i="1" s="1"/>
  <c r="I24" i="1" a="1"/>
  <c r="I24" i="1" s="1"/>
  <c r="J24" i="1" a="1"/>
  <c r="J24" i="1" s="1"/>
  <c r="L24" i="1" a="1"/>
  <c r="L24" i="1" s="1"/>
  <c r="M24" i="1" a="1"/>
  <c r="M24" i="1" s="1"/>
  <c r="N24" i="1" a="1"/>
  <c r="N24" i="1" s="1"/>
  <c r="O24" i="1" a="1"/>
  <c r="O24" i="1" s="1"/>
  <c r="D23" i="1" a="1"/>
  <c r="D23" i="1" s="1"/>
  <c r="E23" i="1" a="1"/>
  <c r="E23" i="1" s="1"/>
  <c r="G23" i="1" a="1"/>
  <c r="G23" i="1" s="1"/>
  <c r="H23" i="1" a="1"/>
  <c r="H23" i="1" s="1"/>
  <c r="I23" i="1" a="1"/>
  <c r="I23" i="1" s="1"/>
  <c r="J23" i="1" a="1"/>
  <c r="J23" i="1" s="1"/>
  <c r="L23" i="1" a="1"/>
  <c r="L23" i="1" s="1"/>
  <c r="M23" i="1" a="1"/>
  <c r="M23" i="1" s="1"/>
  <c r="N23" i="1" a="1"/>
  <c r="N23" i="1" s="1"/>
  <c r="O23" i="1" a="1"/>
  <c r="O23" i="1" s="1"/>
  <c r="L16" i="1" a="1"/>
  <c r="L16" i="1" s="1"/>
  <c r="B23" i="1" a="1"/>
  <c r="B23" i="1" s="1"/>
  <c r="C23" i="1" a="1"/>
  <c r="C23" i="1" s="1"/>
  <c r="B22" i="1" a="1"/>
  <c r="B22" i="1" s="1"/>
  <c r="M3" i="1" a="1"/>
  <c r="M3" i="1" s="1"/>
  <c r="M4" i="1" a="1"/>
  <c r="M4" i="1" s="1"/>
  <c r="M6" i="1" a="1"/>
  <c r="M6" i="1" s="1"/>
  <c r="M7" i="1" a="1"/>
  <c r="M7" i="1" s="1"/>
  <c r="M8" i="1" a="1"/>
  <c r="M8" i="1" s="1"/>
  <c r="M9" i="1" a="1"/>
  <c r="M9" i="1" s="1"/>
  <c r="M10" i="1" a="1"/>
  <c r="M10" i="1" s="1"/>
  <c r="M11" i="1" a="1"/>
  <c r="M11" i="1" s="1"/>
  <c r="M12" i="1" a="1"/>
  <c r="M12" i="1" s="1"/>
  <c r="M13" i="1" a="1"/>
  <c r="M13" i="1" s="1"/>
  <c r="M14" i="1" a="1"/>
  <c r="M14" i="1" s="1"/>
  <c r="M15" i="1" a="1"/>
  <c r="M15" i="1" s="1"/>
  <c r="M16" i="1" a="1"/>
  <c r="M16" i="1" s="1"/>
  <c r="M17" i="1" a="1"/>
  <c r="M17" i="1" s="1"/>
  <c r="M18" i="1" a="1"/>
  <c r="M18" i="1" s="1"/>
  <c r="M19" i="1" a="1"/>
  <c r="M19" i="1" s="1"/>
  <c r="M20" i="1" a="1"/>
  <c r="M20" i="1" s="1"/>
  <c r="M21" i="1" a="1"/>
  <c r="M21" i="1" s="1"/>
  <c r="M22" i="1" a="1"/>
  <c r="M22" i="1" s="1"/>
  <c r="C3" i="1" a="1"/>
  <c r="C3" i="1" s="1"/>
  <c r="C4" i="1" a="1"/>
  <c r="C4" i="1" s="1"/>
  <c r="C7" i="1" a="1"/>
  <c r="C7" i="1" s="1"/>
  <c r="C8" i="1" a="1"/>
  <c r="C8" i="1" s="1"/>
  <c r="C9" i="1" a="1"/>
  <c r="C9" i="1" s="1"/>
  <c r="C10" i="1" a="1"/>
  <c r="C10" i="1" s="1"/>
  <c r="C11" i="1" a="1"/>
  <c r="C11" i="1" s="1"/>
  <c r="C12" i="1" a="1"/>
  <c r="C12" i="1" s="1"/>
  <c r="C13" i="1" a="1"/>
  <c r="C13" i="1" s="1"/>
  <c r="C14" i="1" a="1"/>
  <c r="C14" i="1" s="1"/>
  <c r="C15" i="1" a="1"/>
  <c r="C15" i="1" s="1"/>
  <c r="C16" i="1" a="1"/>
  <c r="C16" i="1" s="1"/>
  <c r="C17" i="1" a="1"/>
  <c r="C17" i="1" s="1"/>
  <c r="C18" i="1" a="1"/>
  <c r="C18" i="1" s="1"/>
  <c r="C19" i="1" a="1"/>
  <c r="C19" i="1" s="1"/>
  <c r="C20" i="1" a="1"/>
  <c r="C20" i="1" s="1"/>
  <c r="C21" i="1" a="1"/>
  <c r="C21" i="1" s="1"/>
  <c r="C22" i="1" a="1"/>
  <c r="C22" i="1" s="1"/>
  <c r="H3" i="1" a="1"/>
  <c r="H3" i="1" s="1"/>
  <c r="I3" i="1" a="1"/>
  <c r="I3" i="1" s="1"/>
  <c r="J3" i="1" a="1"/>
  <c r="J3" i="1" s="1"/>
  <c r="H4" i="1" a="1"/>
  <c r="H4" i="1" s="1"/>
  <c r="I4" i="1" a="1"/>
  <c r="I4" i="1" s="1"/>
  <c r="J4" i="1" a="1"/>
  <c r="J4" i="1" s="1"/>
  <c r="H6" i="1" a="1"/>
  <c r="H6" i="1" s="1"/>
  <c r="I6" i="1" a="1"/>
  <c r="I6" i="1" s="1"/>
  <c r="J6" i="1" a="1"/>
  <c r="J6" i="1" s="1"/>
  <c r="H7" i="1" a="1"/>
  <c r="H7" i="1" s="1"/>
  <c r="I7" i="1" a="1"/>
  <c r="I7" i="1" s="1"/>
  <c r="J7" i="1" a="1"/>
  <c r="J7" i="1" s="1"/>
  <c r="H8" i="1" a="1"/>
  <c r="H8" i="1" s="1"/>
  <c r="I8" i="1" a="1"/>
  <c r="I8" i="1" s="1"/>
  <c r="J8" i="1" a="1"/>
  <c r="J8" i="1" s="1"/>
  <c r="H9" i="1" a="1"/>
  <c r="H9" i="1" s="1"/>
  <c r="I9" i="1" a="1"/>
  <c r="I9" i="1" s="1"/>
  <c r="J9" i="1" a="1"/>
  <c r="J9" i="1" s="1"/>
  <c r="H10" i="1" a="1"/>
  <c r="H10" i="1" s="1"/>
  <c r="I10" i="1" a="1"/>
  <c r="I10" i="1" s="1"/>
  <c r="J10" i="1" a="1"/>
  <c r="J10" i="1" s="1"/>
  <c r="H11" i="1" a="1"/>
  <c r="H11" i="1" s="1"/>
  <c r="I11" i="1" a="1"/>
  <c r="I11" i="1" s="1"/>
  <c r="J11" i="1" a="1"/>
  <c r="J11" i="1" s="1"/>
  <c r="H12" i="1" a="1"/>
  <c r="H12" i="1" s="1"/>
  <c r="I12" i="1" a="1"/>
  <c r="I12" i="1" s="1"/>
  <c r="J12" i="1" a="1"/>
  <c r="J12" i="1" s="1"/>
  <c r="H13" i="1" a="1"/>
  <c r="H13" i="1" s="1"/>
  <c r="I13" i="1" a="1"/>
  <c r="I13" i="1" s="1"/>
  <c r="J13" i="1" a="1"/>
  <c r="J13" i="1" s="1"/>
  <c r="H14" i="1" a="1"/>
  <c r="H14" i="1" s="1"/>
  <c r="I14" i="1" a="1"/>
  <c r="I14" i="1" s="1"/>
  <c r="J14" i="1" a="1"/>
  <c r="J14" i="1" s="1"/>
  <c r="H15" i="1" a="1"/>
  <c r="H15" i="1" s="1"/>
  <c r="I15" i="1" a="1"/>
  <c r="I15" i="1" s="1"/>
  <c r="J15" i="1" a="1"/>
  <c r="J15" i="1" s="1"/>
  <c r="H16" i="1" a="1"/>
  <c r="H16" i="1" s="1"/>
  <c r="I16" i="1" a="1"/>
  <c r="I16" i="1" s="1"/>
  <c r="J16" i="1" a="1"/>
  <c r="J16" i="1" s="1"/>
  <c r="H17" i="1" a="1"/>
  <c r="H17" i="1" s="1"/>
  <c r="I17" i="1" a="1"/>
  <c r="I17" i="1" s="1"/>
  <c r="J17" i="1" a="1"/>
  <c r="J17" i="1" s="1"/>
  <c r="H18" i="1" a="1"/>
  <c r="H18" i="1" s="1"/>
  <c r="I18" i="1" a="1"/>
  <c r="I18" i="1" s="1"/>
  <c r="J18" i="1" a="1"/>
  <c r="J18" i="1" s="1"/>
  <c r="H19" i="1" a="1"/>
  <c r="H19" i="1" s="1"/>
  <c r="I19" i="1" a="1"/>
  <c r="I19" i="1" s="1"/>
  <c r="J19" i="1" a="1"/>
  <c r="J19" i="1" s="1"/>
  <c r="H20" i="1" a="1"/>
  <c r="H20" i="1" s="1"/>
  <c r="I20" i="1" a="1"/>
  <c r="I20" i="1" s="1"/>
  <c r="J20" i="1" a="1"/>
  <c r="J20" i="1" s="1"/>
  <c r="H21" i="1" a="1"/>
  <c r="H21" i="1" s="1"/>
  <c r="I21" i="1" a="1"/>
  <c r="I21" i="1" s="1"/>
  <c r="J21" i="1" a="1"/>
  <c r="J21" i="1" s="1"/>
  <c r="H22" i="1" a="1"/>
  <c r="H22" i="1" s="1"/>
  <c r="I22" i="1" a="1"/>
  <c r="I22" i="1" s="1"/>
  <c r="J22" i="1" a="1"/>
  <c r="J22" i="1" s="1"/>
  <c r="G3" i="1" a="1"/>
  <c r="G3" i="1" s="1"/>
  <c r="G4" i="1" a="1"/>
  <c r="G4" i="1" s="1"/>
  <c r="G6" i="1" a="1"/>
  <c r="G6" i="1" s="1"/>
  <c r="G7" i="1" a="1"/>
  <c r="G7" i="1" s="1"/>
  <c r="G8" i="1" a="1"/>
  <c r="G8" i="1" s="1"/>
  <c r="G9" i="1" a="1"/>
  <c r="G9" i="1" s="1"/>
  <c r="G10" i="1" a="1"/>
  <c r="G10" i="1" s="1"/>
  <c r="G11" i="1" a="1"/>
  <c r="G11" i="1" s="1"/>
  <c r="G12" i="1" a="1"/>
  <c r="G12" i="1" s="1"/>
  <c r="G13" i="1" a="1"/>
  <c r="G13" i="1" s="1"/>
  <c r="G14" i="1" a="1"/>
  <c r="G14" i="1" s="1"/>
  <c r="G15" i="1" a="1"/>
  <c r="G15" i="1" s="1"/>
  <c r="G16" i="1" a="1"/>
  <c r="G16" i="1" s="1"/>
  <c r="G17" i="1" a="1"/>
  <c r="G17" i="1" s="1"/>
  <c r="G18" i="1" a="1"/>
  <c r="G18" i="1" s="1"/>
  <c r="G19" i="1" a="1"/>
  <c r="G19" i="1" s="1"/>
  <c r="G20" i="1" a="1"/>
  <c r="G20" i="1" s="1"/>
  <c r="G21" i="1" a="1"/>
  <c r="G21" i="1" s="1"/>
  <c r="G22" i="1" a="1"/>
  <c r="G22" i="1" s="1"/>
  <c r="D22" i="1" a="1"/>
  <c r="D22" i="1" s="1"/>
  <c r="E22" i="1" a="1"/>
  <c r="E22" i="1" s="1"/>
  <c r="L22" i="1" a="1"/>
  <c r="L22" i="1" s="1"/>
  <c r="N22" i="1" a="1"/>
  <c r="N22" i="1" s="1"/>
  <c r="O22" i="1" a="1"/>
  <c r="O22" i="1" s="1"/>
  <c r="O3" i="1" a="1"/>
  <c r="O3" i="1" s="1"/>
  <c r="O4" i="1" a="1"/>
  <c r="O4" i="1" s="1"/>
  <c r="O6" i="1" a="1"/>
  <c r="O6" i="1" s="1"/>
  <c r="O7" i="1" a="1"/>
  <c r="O7" i="1" s="1"/>
  <c r="O8" i="1" a="1"/>
  <c r="O8" i="1" s="1"/>
  <c r="O9" i="1" a="1"/>
  <c r="O9" i="1" s="1"/>
  <c r="O10" i="1" a="1"/>
  <c r="O10" i="1" s="1"/>
  <c r="O11" i="1" a="1"/>
  <c r="O11" i="1" s="1"/>
  <c r="O12" i="1" a="1"/>
  <c r="O12" i="1" s="1"/>
  <c r="O13" i="1" a="1"/>
  <c r="O13" i="1" s="1"/>
  <c r="O14" i="1" a="1"/>
  <c r="O14" i="1" s="1"/>
  <c r="O15" i="1" a="1"/>
  <c r="O15" i="1" s="1"/>
  <c r="O16" i="1" a="1"/>
  <c r="O16" i="1" s="1"/>
  <c r="O17" i="1" a="1"/>
  <c r="O17" i="1" s="1"/>
  <c r="O18" i="1" a="1"/>
  <c r="O18" i="1" s="1"/>
  <c r="O19" i="1" a="1"/>
  <c r="O19" i="1" s="1"/>
  <c r="O20" i="1" a="1"/>
  <c r="O20" i="1" s="1"/>
  <c r="O21" i="1" a="1"/>
  <c r="O21" i="1" s="1"/>
  <c r="N3" i="1" a="1"/>
  <c r="N3" i="1" s="1"/>
  <c r="N4" i="1" a="1"/>
  <c r="N4" i="1" s="1"/>
  <c r="N6" i="1" a="1"/>
  <c r="N6" i="1" s="1"/>
  <c r="N7" i="1" a="1"/>
  <c r="N7" i="1" s="1"/>
  <c r="N8" i="1" a="1"/>
  <c r="N8" i="1" s="1"/>
  <c r="N9" i="1" a="1"/>
  <c r="N9" i="1" s="1"/>
  <c r="N10" i="1" a="1"/>
  <c r="N10" i="1" s="1"/>
  <c r="N11" i="1" a="1"/>
  <c r="N11" i="1" s="1"/>
  <c r="N12" i="1" a="1"/>
  <c r="N12" i="1" s="1"/>
  <c r="N13" i="1" a="1"/>
  <c r="N13" i="1" s="1"/>
  <c r="N14" i="1" a="1"/>
  <c r="N14" i="1" s="1"/>
  <c r="N15" i="1" a="1"/>
  <c r="N15" i="1" s="1"/>
  <c r="N16" i="1" a="1"/>
  <c r="N16" i="1" s="1"/>
  <c r="N17" i="1" a="1"/>
  <c r="N17" i="1" s="1"/>
  <c r="N18" i="1" a="1"/>
  <c r="N18" i="1" s="1"/>
  <c r="N19" i="1" a="1"/>
  <c r="N19" i="1" s="1"/>
  <c r="N20" i="1" a="1"/>
  <c r="N20" i="1" s="1"/>
  <c r="N21" i="1" a="1"/>
  <c r="N21" i="1" s="1"/>
  <c r="L3" i="1" a="1"/>
  <c r="L3" i="1" s="1"/>
  <c r="L4" i="1" a="1"/>
  <c r="L4" i="1" s="1"/>
  <c r="L7" i="1" a="1"/>
  <c r="L7" i="1" s="1"/>
  <c r="L8" i="1" a="1"/>
  <c r="L8" i="1" s="1"/>
  <c r="L9" i="1" a="1"/>
  <c r="L9" i="1" s="1"/>
  <c r="L10" i="1" a="1"/>
  <c r="L10" i="1" s="1"/>
  <c r="L11" i="1" a="1"/>
  <c r="L11" i="1" s="1"/>
  <c r="L12" i="1" a="1"/>
  <c r="L12" i="1" s="1"/>
  <c r="L13" i="1" a="1"/>
  <c r="L13" i="1" s="1"/>
  <c r="L14" i="1" a="1"/>
  <c r="L14" i="1" s="1"/>
  <c r="L15" i="1" a="1"/>
  <c r="L15" i="1" s="1"/>
  <c r="L17" i="1" a="1"/>
  <c r="L17" i="1" s="1"/>
  <c r="L18" i="1" a="1"/>
  <c r="L18" i="1" s="1"/>
  <c r="L19" i="1" a="1"/>
  <c r="L19" i="1" s="1"/>
  <c r="L20" i="1" a="1"/>
  <c r="L20" i="1" s="1"/>
  <c r="L21" i="1" a="1"/>
  <c r="L21" i="1" s="1"/>
  <c r="E3" i="1" a="1"/>
  <c r="E3" i="1" s="1"/>
  <c r="E4" i="1" a="1"/>
  <c r="E4" i="1" s="1"/>
  <c r="E7" i="1" a="1"/>
  <c r="E7" i="1" s="1"/>
  <c r="E8" i="1" a="1"/>
  <c r="E8" i="1" s="1"/>
  <c r="E9" i="1" a="1"/>
  <c r="E9" i="1" s="1"/>
  <c r="E10" i="1" a="1"/>
  <c r="E10" i="1" s="1"/>
  <c r="E11" i="1" a="1"/>
  <c r="E11" i="1" s="1"/>
  <c r="E12" i="1" a="1"/>
  <c r="E12" i="1" s="1"/>
  <c r="E13" i="1" a="1"/>
  <c r="E13" i="1" s="1"/>
  <c r="E14" i="1" a="1"/>
  <c r="E14" i="1" s="1"/>
  <c r="E15" i="1" a="1"/>
  <c r="E15" i="1" s="1"/>
  <c r="E16" i="1" a="1"/>
  <c r="E16" i="1" s="1"/>
  <c r="E17" i="1" a="1"/>
  <c r="E17" i="1" s="1"/>
  <c r="E18" i="1" a="1"/>
  <c r="E18" i="1" s="1"/>
  <c r="E19" i="1" a="1"/>
  <c r="E19" i="1" s="1"/>
  <c r="E20" i="1" a="1"/>
  <c r="E20" i="1" s="1"/>
  <c r="E21" i="1" a="1"/>
  <c r="E21" i="1" s="1"/>
  <c r="D3" i="1" a="1"/>
  <c r="D3" i="1" s="1"/>
  <c r="D4" i="1" a="1"/>
  <c r="D4" i="1" s="1"/>
  <c r="D7" i="1" a="1"/>
  <c r="D7" i="1" s="1"/>
  <c r="D8" i="1" a="1"/>
  <c r="D8" i="1" s="1"/>
  <c r="D9" i="1" a="1"/>
  <c r="D9" i="1" s="1"/>
  <c r="D10" i="1" a="1"/>
  <c r="D10" i="1" s="1"/>
  <c r="D11" i="1" a="1"/>
  <c r="D11" i="1" s="1"/>
  <c r="D12" i="1" a="1"/>
  <c r="D12" i="1" s="1"/>
  <c r="D13" i="1" a="1"/>
  <c r="D13" i="1" s="1"/>
  <c r="D14" i="1" a="1"/>
  <c r="D14" i="1" s="1"/>
  <c r="D15" i="1" a="1"/>
  <c r="D15" i="1" s="1"/>
  <c r="D16" i="1" a="1"/>
  <c r="D16" i="1" s="1"/>
  <c r="D17" i="1" a="1"/>
  <c r="D17" i="1" s="1"/>
  <c r="D18" i="1" a="1"/>
  <c r="D18" i="1" s="1"/>
  <c r="D19" i="1" a="1"/>
  <c r="D19" i="1" s="1"/>
  <c r="D20" i="1" a="1"/>
  <c r="D20" i="1" s="1"/>
  <c r="D21" i="1" a="1"/>
  <c r="D21" i="1" s="1"/>
  <c r="B3" i="1" a="1"/>
  <c r="B3" i="1" s="1"/>
  <c r="B4" i="1" a="1"/>
  <c r="B4" i="1" s="1"/>
  <c r="B6" i="1" a="1"/>
  <c r="B6" i="1" s="1"/>
  <c r="B7" i="1" a="1"/>
  <c r="B7" i="1" s="1"/>
  <c r="B8" i="1" a="1"/>
  <c r="B8" i="1" s="1"/>
  <c r="B9" i="1" a="1"/>
  <c r="B9" i="1" s="1"/>
  <c r="B10" i="1" a="1"/>
  <c r="B10" i="1" s="1"/>
  <c r="B11" i="1" a="1"/>
  <c r="B11" i="1" s="1"/>
  <c r="B12" i="1" a="1"/>
  <c r="B12" i="1" s="1"/>
  <c r="B13" i="1" a="1"/>
  <c r="B13" i="1" s="1"/>
  <c r="B14" i="1" a="1"/>
  <c r="B14" i="1" s="1"/>
  <c r="B15" i="1" a="1"/>
  <c r="B15" i="1" s="1"/>
  <c r="B16" i="1" a="1"/>
  <c r="B16" i="1" s="1"/>
  <c r="B17" i="1" a="1"/>
  <c r="B17" i="1" s="1"/>
  <c r="B18" i="1" a="1"/>
  <c r="B18" i="1" s="1"/>
  <c r="B19" i="1" a="1"/>
  <c r="B19" i="1" s="1"/>
  <c r="B20" i="1" a="1"/>
  <c r="B20" i="1" s="1"/>
  <c r="B21" i="1" a="1"/>
  <c r="B21" i="1" s="1"/>
  <c r="F12" i="2" l="1"/>
  <c r="D12" i="2"/>
  <c r="C136" i="6"/>
  <c r="O138" i="6"/>
  <c r="O135" i="6"/>
  <c r="G33" i="4"/>
  <c r="G34" i="4" s="1"/>
  <c r="D43" i="4" s="1"/>
  <c r="I89" i="2"/>
  <c r="H89" i="2"/>
  <c r="F89" i="2"/>
  <c r="E80" i="2" s="1"/>
  <c r="I32" i="2"/>
  <c r="I24" i="2"/>
  <c r="I16" i="2"/>
  <c r="I28" i="2"/>
  <c r="I20" i="2"/>
  <c r="I27" i="2"/>
  <c r="I19" i="2"/>
  <c r="I34" i="2"/>
  <c r="I26" i="2"/>
  <c r="I18" i="2"/>
  <c r="I33" i="2"/>
  <c r="I25" i="2"/>
  <c r="I17" i="2"/>
  <c r="I31" i="2"/>
  <c r="I23" i="2"/>
  <c r="I15" i="2"/>
  <c r="I30" i="2"/>
  <c r="I22" i="2"/>
  <c r="I14" i="2"/>
  <c r="I29" i="2"/>
  <c r="I21" i="2"/>
  <c r="I13" i="2"/>
  <c r="B4" i="2"/>
  <c r="F34" i="2"/>
  <c r="F26" i="2"/>
  <c r="F18" i="2"/>
  <c r="F33" i="2"/>
  <c r="F25" i="2"/>
  <c r="F17" i="2"/>
  <c r="F32" i="2"/>
  <c r="F24" i="2"/>
  <c r="F16" i="2"/>
  <c r="F31" i="2"/>
  <c r="F23" i="2"/>
  <c r="F15" i="2"/>
  <c r="F30" i="2"/>
  <c r="F22" i="2"/>
  <c r="F14" i="2"/>
  <c r="F29" i="2"/>
  <c r="F21" i="2"/>
  <c r="F13" i="2"/>
  <c r="F28" i="2"/>
  <c r="F20" i="2"/>
  <c r="F27" i="2"/>
  <c r="F19" i="2"/>
  <c r="C44" i="4"/>
  <c r="B44" i="4" s="1"/>
  <c r="L42" i="4"/>
  <c r="M42" i="4" s="1"/>
  <c r="B16" i="4"/>
  <c r="I12" i="2" l="1"/>
  <c r="H12" i="2"/>
  <c r="B35" i="2" s="1"/>
  <c r="G35" i="4"/>
  <c r="B34" i="4" s="1"/>
  <c r="E43" i="4"/>
  <c r="B33" i="4"/>
  <c r="G24" i="3"/>
  <c r="I15" i="3" s="1"/>
  <c r="B87" i="2"/>
  <c r="E81" i="2" s="1"/>
  <c r="E82" i="2" s="1"/>
  <c r="B10" i="2"/>
  <c r="E3" i="2" s="1"/>
  <c r="B6" i="2" s="1"/>
  <c r="O42" i="4"/>
  <c r="B3" i="2" l="1"/>
  <c r="E4" i="2" s="1"/>
  <c r="B5" i="2"/>
  <c r="G29" i="3"/>
  <c r="I17" i="3" s="1"/>
  <c r="B19" i="3"/>
  <c r="D15" i="3"/>
  <c r="B35" i="4"/>
  <c r="B36" i="4"/>
  <c r="G90" i="2"/>
  <c r="G89" i="2"/>
  <c r="G12" i="2"/>
  <c r="G29" i="2"/>
  <c r="G16" i="2"/>
  <c r="G34" i="2"/>
  <c r="G32" i="2"/>
  <c r="G21" i="2"/>
  <c r="G14" i="2"/>
  <c r="G25" i="2"/>
  <c r="G13" i="2"/>
  <c r="G31" i="2"/>
  <c r="G33" i="2"/>
  <c r="G28" i="2"/>
  <c r="G20" i="2"/>
  <c r="G26" i="2"/>
  <c r="G24" i="2"/>
  <c r="G27" i="2"/>
  <c r="G23" i="2"/>
  <c r="G22" i="2"/>
  <c r="G18" i="2"/>
  <c r="G30" i="2"/>
  <c r="G15" i="2"/>
  <c r="G19" i="2"/>
  <c r="G17" i="2"/>
  <c r="F43" i="4"/>
  <c r="D44" i="4"/>
  <c r="N42" i="4"/>
  <c r="E5" i="2" l="1"/>
  <c r="J42" i="4"/>
  <c r="K42" i="4" s="1"/>
  <c r="F44" i="4"/>
  <c r="E44" i="4" s="1"/>
  <c r="H42" i="4"/>
  <c r="I4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Eric Jiang</author>
  </authors>
  <commentList>
    <comment ref="L6" authorId="0" shapeId="0" xr:uid="{B62AD221-CD13-DC4E-800A-C4E4CF9C8FF3}">
      <text>
        <r>
          <rPr>
            <b/>
            <sz val="10"/>
            <color rgb="FF000000"/>
            <rFont val="Tahoma"/>
            <family val="2"/>
          </rPr>
          <t xml:space="preserve">Eric Jiang: add yrs if there is a term limit
</t>
        </r>
        <r>
          <rPr>
            <sz val="10"/>
            <color rgb="FF000000"/>
            <rFont val="Tahoma"/>
            <family val="2"/>
          </rPr>
          <t xml:space="preserve">
</t>
        </r>
        <r>
          <rPr>
            <sz val="10"/>
            <color rgb="FF000000"/>
            <rFont val="Tahoma"/>
            <family val="2"/>
          </rPr>
          <t xml:space="preserve">A) Term Life Insurance
</t>
        </r>
        <r>
          <rPr>
            <sz val="10"/>
            <color rgb="FF000000"/>
            <rFont val="Tahoma"/>
            <family val="2"/>
          </rPr>
          <t xml:space="preserve">coveraged fixed terms and payout lump sum after death
</t>
        </r>
        <r>
          <rPr>
            <sz val="10"/>
            <color rgb="FF000000"/>
            <rFont val="Tahoma"/>
            <family val="2"/>
          </rPr>
          <t xml:space="preserve">
</t>
        </r>
        <r>
          <rPr>
            <sz val="10"/>
            <color rgb="FF000000"/>
            <rFont val="Tahoma"/>
            <family val="2"/>
          </rPr>
          <t xml:space="preserve">B) Permanent Life Insurance
</t>
        </r>
        <r>
          <rPr>
            <sz val="10"/>
            <color rgb="FF000000"/>
            <rFont val="Tahoma"/>
            <family val="2"/>
          </rPr>
          <t xml:space="preserve">Whole life insurance
</t>
        </r>
        <r>
          <rPr>
            <sz val="10"/>
            <color rgb="FF000000"/>
            <rFont val="Tahoma"/>
            <family val="2"/>
          </rPr>
          <t xml:space="preserve">Universal life insurance
</t>
        </r>
        <r>
          <rPr>
            <sz val="10"/>
            <color rgb="FF000000"/>
            <rFont val="Tahoma"/>
            <family val="2"/>
          </rPr>
          <t xml:space="preserve">Variable life insurance
</t>
        </r>
        <r>
          <rPr>
            <sz val="10"/>
            <color rgb="FF000000"/>
            <rFont val="Tahoma"/>
            <family val="2"/>
          </rPr>
          <t>Index universal life insurance</t>
        </r>
      </text>
    </comment>
    <comment ref="L8" authorId="0" shapeId="0" xr:uid="{3110335F-FD38-5C4D-B92F-3C1C5BA72BE6}">
      <text>
        <r>
          <rPr>
            <b/>
            <sz val="10"/>
            <color rgb="FF000000"/>
            <rFont val="Tahoma"/>
            <family val="2"/>
          </rPr>
          <t>Eric Jiang:</t>
        </r>
        <r>
          <rPr>
            <sz val="10"/>
            <color rgb="FF000000"/>
            <rFont val="Tahoma"/>
            <family val="2"/>
          </rPr>
          <t xml:space="preserve">
coverage amount
and the premium?</t>
        </r>
      </text>
    </comment>
    <comment ref="L11" authorId="0" shapeId="0" xr:uid="{C2A96E6F-765B-FC43-A4AE-BE93A0F40DD2}">
      <text>
        <r>
          <rPr>
            <b/>
            <sz val="10"/>
            <color rgb="FF000000"/>
            <rFont val="Tahoma"/>
            <family val="2"/>
          </rPr>
          <t>Eric Jiang:</t>
        </r>
        <r>
          <rPr>
            <sz val="10"/>
            <color rgb="FF000000"/>
            <rFont val="Tahoma"/>
            <family val="2"/>
          </rPr>
          <t xml:space="preserve">
</t>
        </r>
        <r>
          <rPr>
            <sz val="10"/>
            <color rgb="FF000000"/>
            <rFont val="Aptos Narrow"/>
          </rPr>
          <t xml:space="preserve">Provider Name
</t>
        </r>
        <r>
          <rPr>
            <sz val="10"/>
            <color rgb="FF000000"/>
            <rFont val="Aptos Narrow"/>
          </rPr>
          <t xml:space="preserve">Plan type (Medicaid / Medicare / HMO / Employer PPO / HDHP / Others) 
</t>
        </r>
        <r>
          <rPr>
            <sz val="10"/>
            <color rgb="FF000000"/>
            <rFont val="Aptos Narrow"/>
          </rPr>
          <t xml:space="preserve">
</t>
        </r>
        <r>
          <rPr>
            <sz val="10"/>
            <color rgb="FF000000"/>
            <rFont val="Aptos Narrow"/>
          </rPr>
          <t xml:space="preserve">Supplemental Coverage (Vision + Dental)
</t>
        </r>
        <r>
          <rPr>
            <sz val="10"/>
            <color rgb="FF000000"/>
            <rFont val="Aptos Narrow"/>
          </rPr>
          <t xml:space="preserve">
</t>
        </r>
        <r>
          <rPr>
            <sz val="10"/>
            <color rgb="FF000000"/>
            <rFont val="Aptos Narrow"/>
          </rPr>
          <t xml:space="preserve">Government/Alternative Plans
</t>
        </r>
      </text>
    </comment>
    <comment ref="L12" authorId="0" shapeId="0" xr:uid="{5CE69A0A-53E7-3D4D-8E0B-CE80991F3F12}">
      <text>
        <r>
          <rPr>
            <b/>
            <sz val="10"/>
            <color rgb="FF000000"/>
            <rFont val="Tahoma"/>
            <family val="2"/>
          </rPr>
          <t>Eric Jiang:</t>
        </r>
        <r>
          <rPr>
            <sz val="10"/>
            <color rgb="FF000000"/>
            <rFont val="Tahoma"/>
            <family val="2"/>
          </rPr>
          <t xml:space="preserve">
</t>
        </r>
        <r>
          <rPr>
            <sz val="10"/>
            <color rgb="FF000000"/>
            <rFont val="Tahoma"/>
            <family val="2"/>
          </rPr>
          <t xml:space="preserve">Coverage details (deductable  / family or individual / co-pay / supplemental)
</t>
        </r>
        <r>
          <rPr>
            <sz val="10"/>
            <color rgb="FF000000"/>
            <rFont val="Tahoma"/>
            <family val="2"/>
          </rPr>
          <t xml:space="preserve">
</t>
        </r>
        <r>
          <rPr>
            <sz val="10"/>
            <color rgb="FF000000"/>
            <rFont val="Tahoma"/>
            <family val="2"/>
          </rPr>
          <t xml:space="preserve">Supplemental are additional coverage to the primary medical insurance 
</t>
        </r>
        <r>
          <rPr>
            <sz val="10"/>
            <color rgb="FF000000"/>
            <rFont val="Tahoma"/>
            <family val="2"/>
          </rPr>
          <t xml:space="preserve">[designed to cover the services and expenses that the main health insurance doesn't provide]
</t>
        </r>
        <r>
          <rPr>
            <sz val="10"/>
            <color rgb="FF000000"/>
            <rFont val="Tahoma"/>
            <family val="2"/>
          </rPr>
          <t xml:space="preserve">e.g.
</t>
        </r>
        <r>
          <rPr>
            <sz val="10"/>
            <color rgb="FF000000"/>
            <rFont val="Tahoma"/>
            <family val="2"/>
          </rPr>
          <t xml:space="preserve">prescription pills
</t>
        </r>
        <r>
          <rPr>
            <sz val="10"/>
            <color rgb="FF000000"/>
            <rFont val="Tahoma"/>
            <family val="2"/>
          </rPr>
          <t xml:space="preserve">vision
</t>
        </r>
        <r>
          <rPr>
            <sz val="10"/>
            <color rgb="FF000000"/>
            <rFont val="Tahoma"/>
            <family val="2"/>
          </rPr>
          <t xml:space="preserve">dental
</t>
        </r>
      </text>
    </comment>
    <comment ref="D14" authorId="0" shapeId="0" xr:uid="{2AA06F52-4B0D-D348-A969-ABC9F5FBDA95}">
      <text>
        <r>
          <rPr>
            <b/>
            <sz val="10"/>
            <color rgb="FF000000"/>
            <rFont val="Tahoma"/>
            <family val="2"/>
          </rPr>
          <t>Eric Jiang:</t>
        </r>
        <r>
          <rPr>
            <sz val="10"/>
            <color rgb="FF000000"/>
            <rFont val="Tahoma"/>
            <family val="2"/>
          </rPr>
          <t xml:space="preserve">
</t>
        </r>
        <r>
          <rPr>
            <sz val="10"/>
            <color rgb="FF000000"/>
            <rFont val="Tahoma"/>
            <family val="2"/>
          </rPr>
          <t>Progress remaining</t>
        </r>
      </text>
    </comment>
    <comment ref="A17" authorId="0" shapeId="0" xr:uid="{543DC1BB-AD3C-C84D-BB0D-CDA371FBA0DD}">
      <text>
        <r>
          <rPr>
            <b/>
            <sz val="10"/>
            <color rgb="FF000000"/>
            <rFont val="Tahoma"/>
            <family val="2"/>
          </rPr>
          <t>Eric Jiang:</t>
        </r>
        <r>
          <rPr>
            <sz val="10"/>
            <color rgb="FF000000"/>
            <rFont val="Tahoma"/>
            <family val="2"/>
          </rPr>
          <t xml:space="preserve">
</t>
        </r>
        <r>
          <rPr>
            <sz val="10"/>
            <color rgb="FF000000"/>
            <rFont val="Tahoma"/>
            <family val="2"/>
          </rPr>
          <t>IRA/401k</t>
        </r>
      </text>
    </comment>
    <comment ref="G18" authorId="0" shapeId="0" xr:uid="{EE4BF8FE-2CA4-8140-A74B-4CC4BA4C0500}">
      <text>
        <r>
          <rPr>
            <b/>
            <sz val="10"/>
            <color rgb="FF000000"/>
            <rFont val="Tahoma"/>
            <family val="2"/>
          </rPr>
          <t>Eric Jiang:</t>
        </r>
        <r>
          <rPr>
            <sz val="10"/>
            <color rgb="FF000000"/>
            <rFont val="Tahoma"/>
            <family val="2"/>
          </rPr>
          <t xml:space="preserve">
</t>
        </r>
        <r>
          <rPr>
            <sz val="10"/>
            <color rgb="FF000000"/>
            <rFont val="Tahoma"/>
            <family val="2"/>
          </rPr>
          <t>Social Security full retirement age is at 67 years old</t>
        </r>
      </text>
    </comment>
    <comment ref="T18" authorId="0" shapeId="0" xr:uid="{8B363DD8-8FCD-3749-AE13-E697E5D9D0DE}">
      <text>
        <r>
          <rPr>
            <b/>
            <sz val="10"/>
            <color rgb="FF000000"/>
            <rFont val="Tahoma"/>
            <family val="2"/>
          </rPr>
          <t>Eric Jiang:</t>
        </r>
        <r>
          <rPr>
            <sz val="10"/>
            <color rgb="FF000000"/>
            <rFont val="Tahoma"/>
            <family val="2"/>
          </rPr>
          <t xml:space="preserve">
</t>
        </r>
        <r>
          <rPr>
            <sz val="10"/>
            <color rgb="FF000000"/>
            <rFont val="Tahoma"/>
            <family val="2"/>
          </rPr>
          <t>Social Security full retirement age is at 67 years old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Eric Jiang</author>
  </authors>
  <commentList>
    <comment ref="K26" authorId="0" shapeId="0" xr:uid="{CAE19653-E84C-A84D-9309-6F7674F050E9}">
      <text>
        <r>
          <rPr>
            <b/>
            <sz val="10"/>
            <color rgb="FF000000"/>
            <rFont val="Tahoma"/>
            <family val="2"/>
          </rPr>
          <t>Eric Jiang:</t>
        </r>
        <r>
          <rPr>
            <sz val="10"/>
            <color rgb="FF000000"/>
            <rFont val="Tahoma"/>
            <family val="2"/>
          </rPr>
          <t xml:space="preserve">
</t>
        </r>
        <r>
          <rPr>
            <sz val="10"/>
            <color rgb="FF000000"/>
            <rFont val="Tahoma"/>
            <family val="2"/>
          </rPr>
          <t>This is for household cleaning supples, Target or Walmart trips etc.</t>
        </r>
      </text>
    </comment>
    <comment ref="A33" authorId="0" shapeId="0" xr:uid="{745B39DC-B3F3-1048-89EC-16FD8CDD988B}">
      <text>
        <r>
          <rPr>
            <b/>
            <sz val="10"/>
            <color rgb="FF000000"/>
            <rFont val="Tahoma"/>
            <family val="2"/>
          </rPr>
          <t>Eric Jiang:</t>
        </r>
        <r>
          <rPr>
            <sz val="10"/>
            <color rgb="FF000000"/>
            <rFont val="Tahoma"/>
            <family val="2"/>
          </rPr>
          <t xml:space="preserve">
</t>
        </r>
        <r>
          <rPr>
            <sz val="10"/>
            <color rgb="FF000000"/>
            <rFont val="Tahoma"/>
            <family val="2"/>
          </rPr>
          <t xml:space="preserve">Emergency fund for 6 months cost of living expenses in case of sudden life circumstances such as an </t>
        </r>
        <r>
          <rPr>
            <u/>
            <sz val="10"/>
            <color rgb="FF000000"/>
            <rFont val="Tahoma"/>
            <family val="2"/>
          </rPr>
          <t>unnotinced layoff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Eric Jiang</author>
  </authors>
  <commentList>
    <comment ref="B97" authorId="0" shapeId="0" xr:uid="{597BD9C3-132D-5B4D-BA45-A024B55DE6EA}">
      <text>
        <r>
          <rPr>
            <b/>
            <sz val="10"/>
            <color rgb="FF000000"/>
            <rFont val="Tahoma"/>
            <family val="2"/>
          </rPr>
          <t>Eric Jiang:</t>
        </r>
        <r>
          <rPr>
            <sz val="10"/>
            <color rgb="FF000000"/>
            <rFont val="Tahoma"/>
            <family val="2"/>
          </rPr>
          <t xml:space="preserve">
</t>
        </r>
        <r>
          <rPr>
            <sz val="10"/>
            <color rgb="FF000000"/>
            <rFont val="Tahoma"/>
            <family val="2"/>
          </rPr>
          <t xml:space="preserve">Over the Counter
</t>
        </r>
        <r>
          <rPr>
            <sz val="10"/>
            <color rgb="FF000000"/>
            <rFont val="Tahoma"/>
            <family val="2"/>
          </rPr>
          <t>pain relief, vitamins, allergy, supplements</t>
        </r>
      </text>
    </comment>
    <comment ref="B100" authorId="0" shapeId="0" xr:uid="{07E4A063-5DD9-8547-97D3-12901510E0CC}">
      <text>
        <r>
          <rPr>
            <b/>
            <sz val="10"/>
            <color rgb="FF000000"/>
            <rFont val="Tahoma"/>
            <family val="2"/>
          </rPr>
          <t>Eric Jiang:</t>
        </r>
        <r>
          <rPr>
            <sz val="10"/>
            <color rgb="FF000000"/>
            <rFont val="Tahoma"/>
            <family val="2"/>
          </rPr>
          <t xml:space="preserve">
</t>
        </r>
        <r>
          <rPr>
            <sz val="10"/>
            <color rgb="FF000000"/>
            <rFont val="Tahoma"/>
            <family val="2"/>
          </rPr>
          <t>dermatologist, cardiologist, etc. for special treatments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Eric Jiang</author>
  </authors>
  <commentList>
    <comment ref="A35" authorId="0" shapeId="0" xr:uid="{7E41A016-80A4-8742-94A2-B387D99F97CF}">
      <text>
        <r>
          <rPr>
            <b/>
            <sz val="10"/>
            <color rgb="FF000000"/>
            <rFont val="Tahoma"/>
            <family val="2"/>
          </rPr>
          <t>Eric Jiang:</t>
        </r>
        <r>
          <rPr>
            <sz val="10"/>
            <color rgb="FF000000"/>
            <rFont val="Tahoma"/>
            <family val="2"/>
          </rPr>
          <t xml:space="preserve">
</t>
        </r>
        <r>
          <rPr>
            <sz val="10"/>
            <color rgb="FF000000"/>
            <rFont val="Tahoma"/>
            <family val="2"/>
          </rPr>
          <t>Cumulative Portfolio Return, which is the return realized after liquidating all assets</t>
        </r>
      </text>
    </comment>
    <comment ref="A80" authorId="0" shapeId="0" xr:uid="{660B5BAE-A269-B342-8CB2-BBE028965C3A}">
      <text>
        <r>
          <rPr>
            <b/>
            <sz val="10"/>
            <color rgb="FF000000"/>
            <rFont val="Tahoma"/>
            <family val="2"/>
          </rPr>
          <t xml:space="preserve">Eric Jiang:
</t>
        </r>
        <r>
          <rPr>
            <sz val="10"/>
            <color rgb="FF000000"/>
            <rFont val="Tahoma"/>
            <family val="2"/>
          </rPr>
          <t>Roth IRA is a tax-free retirement fund that allows you to withdraw at the age of 59 1/2.
Withdrawing early will cause a fine.</t>
        </r>
      </text>
    </comment>
    <comment ref="A92" authorId="0" shapeId="0" xr:uid="{89AB4BA4-0F45-E241-8D56-677F041DE2A8}">
      <text>
        <r>
          <rPr>
            <b/>
            <sz val="10"/>
            <color rgb="FF000000"/>
            <rFont val="Tahoma"/>
            <family val="2"/>
          </rPr>
          <t>Eric Jiang:</t>
        </r>
        <r>
          <rPr>
            <sz val="10"/>
            <color rgb="FF000000"/>
            <rFont val="Tahoma"/>
            <family val="2"/>
          </rPr>
          <t xml:space="preserve">
</t>
        </r>
        <r>
          <rPr>
            <sz val="10"/>
            <color rgb="FF000000"/>
            <rFont val="Tahoma"/>
            <family val="2"/>
          </rPr>
          <t>Retirement account full of dividends may be unreliable to account for unrealized gains because of no capital gains or equity itself.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Eric Jiang</author>
  </authors>
  <commentList>
    <comment ref="A47" authorId="0" shapeId="0" xr:uid="{DF3ACA2D-B365-FC4F-B247-39FC1EE63817}">
      <text>
        <r>
          <rPr>
            <b/>
            <sz val="10"/>
            <color rgb="FF000000"/>
            <rFont val="Tahoma"/>
            <family val="2"/>
          </rPr>
          <t>Eric Jiang:</t>
        </r>
        <r>
          <rPr>
            <sz val="10"/>
            <color rgb="FF000000"/>
            <rFont val="Tahoma"/>
            <family val="2"/>
          </rPr>
          <t xml:space="preserve">
</t>
        </r>
        <r>
          <rPr>
            <sz val="10"/>
            <color rgb="FF000000"/>
            <rFont val="Tahoma"/>
            <family val="2"/>
          </rPr>
          <t>Cumulative Portfolio Return, which is the return realized after liquidating all assets</t>
        </r>
      </text>
    </comment>
    <comment ref="A93" authorId="0" shapeId="0" xr:uid="{D9180F14-FE9B-2245-99A4-AC5434843FF0}">
      <text>
        <r>
          <rPr>
            <b/>
            <sz val="10"/>
            <color rgb="FF000000"/>
            <rFont val="Tahoma"/>
            <family val="2"/>
          </rPr>
          <t xml:space="preserve">Eric Jiang:
</t>
        </r>
        <r>
          <rPr>
            <sz val="10"/>
            <color rgb="FF000000"/>
            <rFont val="Tahoma"/>
            <family val="2"/>
          </rPr>
          <t>Roth IRA is a tax-free retirement fund that allows you to withdraw at the age of 59 1/2.
Withdrawing early will cause a fine.</t>
        </r>
      </text>
    </comment>
    <comment ref="A110" authorId="0" shapeId="0" xr:uid="{6C5EEBD5-21A4-C24B-BB7F-42E93B1D4C62}">
      <text>
        <r>
          <rPr>
            <b/>
            <sz val="10"/>
            <color rgb="FF000000"/>
            <rFont val="Tahoma"/>
            <family val="2"/>
          </rPr>
          <t>Eric Jiang:</t>
        </r>
        <r>
          <rPr>
            <sz val="10"/>
            <color rgb="FF000000"/>
            <rFont val="Tahoma"/>
            <family val="2"/>
          </rPr>
          <t xml:space="preserve">
</t>
        </r>
        <r>
          <rPr>
            <sz val="10"/>
            <color rgb="FF000000"/>
            <rFont val="Tahoma"/>
            <family val="2"/>
          </rPr>
          <t>Retirement account full of dividends may be unreliable to account for unrealized gains because of no capital gains or equity itself.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6">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30"/>
        </ext>
      </extLst>
    </bk>
    <bk>
      <extLst>
        <ext uri="{3e2802c4-a4d2-4d8b-9148-e3be6c30e623}">
          <xlrd:rvb i="33"/>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4"/>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21"/>
        </ext>
      </extLst>
    </bk>
    <bk>
      <extLst>
        <ext uri="{3e2802c4-a4d2-4d8b-9148-e3be6c30e623}">
          <xlrd:rvb i="123"/>
        </ext>
      </extLst>
    </bk>
    <bk>
      <extLst>
        <ext uri="{3e2802c4-a4d2-4d8b-9148-e3be6c30e623}">
          <xlrd:rvb i="125"/>
        </ext>
      </extLst>
    </bk>
    <bk>
      <extLst>
        <ext uri="{3e2802c4-a4d2-4d8b-9148-e3be6c30e623}">
          <xlrd:rvb i="128"/>
        </ext>
      </extLst>
    </bk>
    <bk>
      <extLst>
        <ext uri="{3e2802c4-a4d2-4d8b-9148-e3be6c30e623}">
          <xlrd:rvb i="131"/>
        </ext>
      </extLst>
    </bk>
    <bk>
      <extLst>
        <ext uri="{3e2802c4-a4d2-4d8b-9148-e3be6c30e623}">
          <xlrd:rvb i="134"/>
        </ext>
      </extLst>
    </bk>
    <bk>
      <extLst>
        <ext uri="{3e2802c4-a4d2-4d8b-9148-e3be6c30e623}">
          <xlrd:rvb i="137"/>
        </ext>
      </extLst>
    </bk>
    <bk>
      <extLst>
        <ext uri="{3e2802c4-a4d2-4d8b-9148-e3be6c30e623}">
          <xlrd:rvb i="140"/>
        </ext>
      </extLst>
    </bk>
    <bk>
      <extLst>
        <ext uri="{3e2802c4-a4d2-4d8b-9148-e3be6c30e623}">
          <xlrd:rvb i="143"/>
        </ext>
      </extLst>
    </bk>
    <bk>
      <extLst>
        <ext uri="{3e2802c4-a4d2-4d8b-9148-e3be6c30e623}">
          <xlrd:rvb i="146"/>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2"/>
        </ext>
      </extLst>
    </bk>
    <bk>
      <extLst>
        <ext uri="{3e2802c4-a4d2-4d8b-9148-e3be6c30e623}">
          <xlrd:rvb i="165"/>
        </ext>
      </extLst>
    </bk>
    <bk>
      <extLst>
        <ext uri="{3e2802c4-a4d2-4d8b-9148-e3be6c30e623}">
          <xlrd:rvb i="168"/>
        </ext>
      </extLst>
    </bk>
    <bk>
      <extLst>
        <ext uri="{3e2802c4-a4d2-4d8b-9148-e3be6c30e623}">
          <xlrd:rvb i="171"/>
        </ext>
      </extLst>
    </bk>
  </futureMetadata>
  <futureMetadata name="XLDAPR" count="1">
    <bk>
      <extLst>
        <ext uri="{bdbb8cdc-fa1e-496e-a857-3c3f30c029c3}">
          <xda:dynamicArrayProperties fDynamic="1" fCollapsed="0"/>
        </ext>
      </extLst>
    </bk>
  </futureMetadata>
  <cellMetadata count="1">
    <bk>
      <rc t="2" v="0"/>
    </bk>
  </cellMetadata>
  <valueMetadata count="56">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valueMetadata>
</metadata>
</file>

<file path=xl/sharedStrings.xml><?xml version="1.0" encoding="utf-8"?>
<sst xmlns="http://schemas.openxmlformats.org/spreadsheetml/2006/main" count="855" uniqueCount="397">
  <si>
    <t>STOCK</t>
  </si>
  <si>
    <t>TICKER</t>
  </si>
  <si>
    <t>Avg. Vol</t>
  </si>
  <si>
    <t>Volume</t>
  </si>
  <si>
    <t>Beta</t>
  </si>
  <si>
    <t>PE ratio</t>
  </si>
  <si>
    <t>Open</t>
  </si>
  <si>
    <t>High</t>
  </si>
  <si>
    <t>Low</t>
  </si>
  <si>
    <t>Price</t>
  </si>
  <si>
    <t>% Change</t>
  </si>
  <si>
    <t>Change</t>
  </si>
  <si>
    <t>Prev. Close</t>
  </si>
  <si>
    <t>52-Wk High</t>
  </si>
  <si>
    <t>52-Wk low</t>
  </si>
  <si>
    <t>––</t>
  </si>
  <si>
    <t>BCS</t>
  </si>
  <si>
    <t>Symbol</t>
  </si>
  <si>
    <t>Shares</t>
  </si>
  <si>
    <t>Average Cost</t>
  </si>
  <si>
    <t>Total Return</t>
  </si>
  <si>
    <t>Equity</t>
  </si>
  <si>
    <t>Salary</t>
  </si>
  <si>
    <t>Pension</t>
  </si>
  <si>
    <t>IRA</t>
  </si>
  <si>
    <t>Roth IRA</t>
  </si>
  <si>
    <t>Eric Jiang</t>
  </si>
  <si>
    <t>N/A</t>
  </si>
  <si>
    <t>Life Insurance</t>
  </si>
  <si>
    <t>Health Insurance</t>
  </si>
  <si>
    <t>Primary</t>
  </si>
  <si>
    <t>Brokerage Account</t>
  </si>
  <si>
    <t>Home Value</t>
  </si>
  <si>
    <t>Mortgage</t>
  </si>
  <si>
    <t>individual</t>
  </si>
  <si>
    <t>Market Cap</t>
  </si>
  <si>
    <t>Groceries</t>
  </si>
  <si>
    <t>Secondary Income</t>
  </si>
  <si>
    <t>Child Care Allowance</t>
  </si>
  <si>
    <t>Bonus/Commission</t>
  </si>
  <si>
    <t>Rent Income</t>
  </si>
  <si>
    <t>Dividend</t>
  </si>
  <si>
    <t>Other Income 1</t>
  </si>
  <si>
    <t>Other Income 2</t>
  </si>
  <si>
    <t>Other Income 3</t>
  </si>
  <si>
    <t>Expense Categories</t>
  </si>
  <si>
    <t>Rent/Mortgage</t>
  </si>
  <si>
    <t>Water/Sewer</t>
  </si>
  <si>
    <t>Gas/Heating</t>
  </si>
  <si>
    <t>Household/Repairs</t>
  </si>
  <si>
    <t>Budget</t>
  </si>
  <si>
    <t>Student Loan</t>
  </si>
  <si>
    <t>Credit Cards</t>
  </si>
  <si>
    <t>Restaurant Meals</t>
  </si>
  <si>
    <t>Micellaneous</t>
  </si>
  <si>
    <t>Annual</t>
  </si>
  <si>
    <t>Monthly</t>
  </si>
  <si>
    <t>Electricity</t>
  </si>
  <si>
    <t>Internet Services</t>
  </si>
  <si>
    <t>Recurring Expenses</t>
  </si>
  <si>
    <t>Phone Bill</t>
  </si>
  <si>
    <t>Gym Membership</t>
  </si>
  <si>
    <t>Transportation</t>
  </si>
  <si>
    <t>Subscriptions</t>
  </si>
  <si>
    <t>Other Loan Payments</t>
  </si>
  <si>
    <t>Car Payment</t>
  </si>
  <si>
    <t>Insurance</t>
  </si>
  <si>
    <t>Maintenance</t>
  </si>
  <si>
    <t>Retirement Contributions</t>
  </si>
  <si>
    <t>With Car</t>
  </si>
  <si>
    <t>Without Car</t>
  </si>
  <si>
    <t>Earnings</t>
  </si>
  <si>
    <t>Annual Earnings</t>
  </si>
  <si>
    <t>Monthly Earnings</t>
  </si>
  <si>
    <t>Personal Finance Snapshot</t>
  </si>
  <si>
    <t>Total Monthly Expenses</t>
  </si>
  <si>
    <t>Total Annual Expenses</t>
  </si>
  <si>
    <t>Leftover after all expense categories</t>
  </si>
  <si>
    <t>Travel/Trips</t>
  </si>
  <si>
    <t>investments (2/3)</t>
  </si>
  <si>
    <t>savings (1/3)</t>
  </si>
  <si>
    <t>Theoretical (70/30)</t>
  </si>
  <si>
    <t>Actual</t>
  </si>
  <si>
    <t>Theoretical</t>
  </si>
  <si>
    <t xml:space="preserve"> Actual</t>
  </si>
  <si>
    <t>(Expenses)</t>
  </si>
  <si>
    <t>Earnings Allocation</t>
  </si>
  <si>
    <t>Actual ~(70/30)</t>
  </si>
  <si>
    <t>Annually</t>
  </si>
  <si>
    <t>Checkings (70%)</t>
  </si>
  <si>
    <t>Investments/Savings (30%)</t>
  </si>
  <si>
    <t>Investments/Savings Account</t>
  </si>
  <si>
    <t>~70% Checkings Account</t>
  </si>
  <si>
    <t>Financial Summary</t>
  </si>
  <si>
    <t>Target</t>
  </si>
  <si>
    <t>Client Input</t>
  </si>
  <si>
    <t>Emergency Fund</t>
  </si>
  <si>
    <t>~70/30 Earnings Allocation</t>
  </si>
  <si>
    <t>Single Individual</t>
  </si>
  <si>
    <t>NY, US</t>
  </si>
  <si>
    <t>0 dependents</t>
  </si>
  <si>
    <t>Spouse (Secondary)</t>
  </si>
  <si>
    <t>Asset Maps</t>
  </si>
  <si>
    <t>High-Yield Savings Account</t>
  </si>
  <si>
    <t>Total Investments &amp; Savings</t>
  </si>
  <si>
    <t>Investments &amp; Savings</t>
  </si>
  <si>
    <t>Retirement Account</t>
  </si>
  <si>
    <t>Savings Account</t>
  </si>
  <si>
    <t>Other Long-term Assets</t>
  </si>
  <si>
    <t>Checkings Account</t>
  </si>
  <si>
    <t>Other Income</t>
  </si>
  <si>
    <t>Fixed Expenses</t>
  </si>
  <si>
    <t>Social Security</t>
  </si>
  <si>
    <t>Goal</t>
  </si>
  <si>
    <t>$1/yr</t>
  </si>
  <si>
    <t>Real Estate*</t>
  </si>
  <si>
    <t>Company Name*</t>
  </si>
  <si>
    <t>SS @67</t>
  </si>
  <si>
    <t>Annual Household*</t>
  </si>
  <si>
    <t>Robinhood*</t>
  </si>
  <si>
    <t>Brokerage Name*</t>
  </si>
  <si>
    <t>401k</t>
  </si>
  <si>
    <t>% of Goal Achieved</t>
  </si>
  <si>
    <t>Student Loans</t>
  </si>
  <si>
    <t>New York*</t>
  </si>
  <si>
    <t>3% 30 Year*</t>
  </si>
  <si>
    <t>Navy Federal</t>
  </si>
  <si>
    <t>AutoLoan</t>
  </si>
  <si>
    <t>NYU Langone</t>
  </si>
  <si>
    <t>Baruch College</t>
  </si>
  <si>
    <t>5% 40 Year*</t>
  </si>
  <si>
    <t>Hyundai @ 2%</t>
  </si>
  <si>
    <t>Medical Bills</t>
  </si>
  <si>
    <t>Credit Card</t>
  </si>
  <si>
    <t>Liabilities</t>
  </si>
  <si>
    <t>Other Debt</t>
  </si>
  <si>
    <t>Company Name</t>
  </si>
  <si>
    <t>Medicaid</t>
  </si>
  <si>
    <t>Provider Name*</t>
  </si>
  <si>
    <t>Supplemental</t>
  </si>
  <si>
    <t>Coverage Info*</t>
  </si>
  <si>
    <t>Advisor: Eric Jiang</t>
  </si>
  <si>
    <t>Courtesy Titles</t>
  </si>
  <si>
    <t>Kitchen Renovation</t>
  </si>
  <si>
    <t>Room Remodel</t>
  </si>
  <si>
    <t xml:space="preserve">Notes: I noticed that my within my networth portfolio, the majority of my money is within my brokerage account. Investments doesn't guarantee returns, and whenever I am invested into any funds within the stock market, it will always be prone to volaitlity and my money is at risk. Iwhich is prone to volatility and at risk. I'd like to follow a model where it's a 67/33 split of where my 67% of my money is allocated into investments so I'm earning that compound growth on my ROI, and 33% of it sitting in cash for safety precautions  </t>
  </si>
  <si>
    <t>Networth Overview</t>
  </si>
  <si>
    <t>Ticker</t>
  </si>
  <si>
    <t>AAPL</t>
  </si>
  <si>
    <t>NVDA</t>
  </si>
  <si>
    <t>GOOGL</t>
  </si>
  <si>
    <t>SMCI</t>
  </si>
  <si>
    <t>VGT</t>
  </si>
  <si>
    <t>QQQ</t>
  </si>
  <si>
    <t>SPY</t>
  </si>
  <si>
    <t>AMZN</t>
  </si>
  <si>
    <t>MSFT</t>
  </si>
  <si>
    <t>META</t>
  </si>
  <si>
    <t>BRK.B</t>
  </si>
  <si>
    <t>JPM</t>
  </si>
  <si>
    <t>VZ</t>
  </si>
  <si>
    <t>HOOD</t>
  </si>
  <si>
    <t>SOFI</t>
  </si>
  <si>
    <t>UNH</t>
  </si>
  <si>
    <t>OPEN</t>
  </si>
  <si>
    <t>VST</t>
  </si>
  <si>
    <t>NDAQ</t>
  </si>
  <si>
    <t>AVGO</t>
  </si>
  <si>
    <t>TSM</t>
  </si>
  <si>
    <t>ANET</t>
  </si>
  <si>
    <t>Total Market Value</t>
  </si>
  <si>
    <t>Number of Holdings</t>
  </si>
  <si>
    <t>Portfolio Value</t>
  </si>
  <si>
    <t>Daily Gain / Loss</t>
  </si>
  <si>
    <t>+/- Return</t>
  </si>
  <si>
    <t xml:space="preserve"> +/- Dy Change</t>
  </si>
  <si>
    <t xml:space="preserve">Roth IRA </t>
  </si>
  <si>
    <t>Realized P&amp;L (all-time)</t>
  </si>
  <si>
    <t xml:space="preserve"> </t>
  </si>
  <si>
    <t>Equity Value</t>
  </si>
  <si>
    <t>% Equity</t>
  </si>
  <si>
    <t>Margin</t>
  </si>
  <si>
    <t>Total Return (unrealized)</t>
  </si>
  <si>
    <t>Realized Gain</t>
  </si>
  <si>
    <t>Current Portfolio</t>
  </si>
  <si>
    <t>Retirement Portfolio</t>
  </si>
  <si>
    <t>Initial Cash-Deposit</t>
  </si>
  <si>
    <t>JEPI</t>
  </si>
  <si>
    <t>Cash</t>
  </si>
  <si>
    <t>–</t>
  </si>
  <si>
    <t>Total Contribution</t>
  </si>
  <si>
    <t>January</t>
  </si>
  <si>
    <t>February</t>
  </si>
  <si>
    <t>March</t>
  </si>
  <si>
    <t>April</t>
  </si>
  <si>
    <t>May</t>
  </si>
  <si>
    <t>June</t>
  </si>
  <si>
    <t>July</t>
  </si>
  <si>
    <t>August</t>
  </si>
  <si>
    <t>September</t>
  </si>
  <si>
    <t>October</t>
  </si>
  <si>
    <t>November</t>
  </si>
  <si>
    <t>December</t>
  </si>
  <si>
    <t>Dividends</t>
  </si>
  <si>
    <t>Total</t>
  </si>
  <si>
    <t>Total (M)</t>
  </si>
  <si>
    <t>Total (Yr)</t>
  </si>
  <si>
    <t>Housing</t>
  </si>
  <si>
    <t>Daily Living</t>
  </si>
  <si>
    <t>Expenses</t>
  </si>
  <si>
    <t>Child Care</t>
  </si>
  <si>
    <t>Other (Food Expenses)</t>
  </si>
  <si>
    <t>Parking</t>
  </si>
  <si>
    <t>Ride-Share</t>
  </si>
  <si>
    <t>Gas/fuel</t>
  </si>
  <si>
    <t>Dining Out</t>
  </si>
  <si>
    <t>Other (Housing)</t>
  </si>
  <si>
    <t>Housecleaning service</t>
  </si>
  <si>
    <t>Pet expenses</t>
  </si>
  <si>
    <t>Repairs</t>
  </si>
  <si>
    <t>Prescriptions</t>
  </si>
  <si>
    <t>Food</t>
  </si>
  <si>
    <t>Souvenirs</t>
  </si>
  <si>
    <t>Pet boarding</t>
  </si>
  <si>
    <t>Magazines</t>
  </si>
  <si>
    <t>Clothing</t>
  </si>
  <si>
    <t>Gifts</t>
  </si>
  <si>
    <t>Other</t>
  </si>
  <si>
    <t>Household repairs</t>
  </si>
  <si>
    <t>Forecast</t>
  </si>
  <si>
    <t>Pet Expenses</t>
  </si>
  <si>
    <t>Recreation</t>
  </si>
  <si>
    <t>Arts &amp; Craft</t>
  </si>
  <si>
    <t>Gaming</t>
  </si>
  <si>
    <t>Sports Equipment</t>
  </si>
  <si>
    <t>Outdoor</t>
  </si>
  <si>
    <t>Other (Recreation)</t>
  </si>
  <si>
    <t>Newspaper</t>
  </si>
  <si>
    <t>Gym/Club Membership</t>
  </si>
  <si>
    <t>Music Steaming</t>
  </si>
  <si>
    <t>Video Streaming</t>
  </si>
  <si>
    <t>Audiobooks/Podcast</t>
  </si>
  <si>
    <t>Shopping/Delivery</t>
  </si>
  <si>
    <t>Cloud Storage</t>
  </si>
  <si>
    <t>Software Productivity</t>
  </si>
  <si>
    <t>Device-Identity Protection</t>
  </si>
  <si>
    <t>Car Wash/Services</t>
  </si>
  <si>
    <t>Public Transportation</t>
  </si>
  <si>
    <t>Entertainment</t>
  </si>
  <si>
    <t>Other (Recurring Expenses)</t>
  </si>
  <si>
    <t>Cable-TV</t>
  </si>
  <si>
    <t>Concert Tickets</t>
  </si>
  <si>
    <t>Local Live Shows</t>
  </si>
  <si>
    <t>DJ Events</t>
  </si>
  <si>
    <t>Theater/Broadway shows</t>
  </si>
  <si>
    <t>Comedy Stand-up</t>
  </si>
  <si>
    <t xml:space="preserve">Museum </t>
  </si>
  <si>
    <t>Movie Theater</t>
  </si>
  <si>
    <t>Bars &amp; Lounges</t>
  </si>
  <si>
    <t>Karaoke</t>
  </si>
  <si>
    <t>Health</t>
  </si>
  <si>
    <t>OTC meds</t>
  </si>
  <si>
    <t>Mental Health Therapy</t>
  </si>
  <si>
    <t>Specialist Visits</t>
  </si>
  <si>
    <t>Physical Therapy</t>
  </si>
  <si>
    <t>Nutritionist/Dietician</t>
  </si>
  <si>
    <t>Vacations</t>
  </si>
  <si>
    <t>Plane Fare</t>
  </si>
  <si>
    <t>Accomodations</t>
  </si>
  <si>
    <t>Rental Car</t>
  </si>
  <si>
    <t>Traveling</t>
  </si>
  <si>
    <t>Hotel</t>
  </si>
  <si>
    <t>Other (Vacation)</t>
  </si>
  <si>
    <t>Personal</t>
  </si>
  <si>
    <t>Salon/Barber</t>
  </si>
  <si>
    <t>Skin Care</t>
  </si>
  <si>
    <t>Make up/Cosmetics</t>
  </si>
  <si>
    <t>Personal Hygenie</t>
  </si>
  <si>
    <t>Spa Treatments</t>
  </si>
  <si>
    <t>Income</t>
  </si>
  <si>
    <t>Summary</t>
  </si>
  <si>
    <t>Cumulative (M) Expenses</t>
  </si>
  <si>
    <t>Cumulative (Yr) Expenses</t>
  </si>
  <si>
    <t>Discretionary Income</t>
  </si>
  <si>
    <t>Financial Journal</t>
  </si>
  <si>
    <t>Year-to-Date</t>
  </si>
  <si>
    <t>Portfolio Model</t>
  </si>
  <si>
    <t>Leveraged Products</t>
  </si>
  <si>
    <t>ETFs</t>
  </si>
  <si>
    <t>Individual Stock</t>
  </si>
  <si>
    <t>Bonds</t>
  </si>
  <si>
    <t>Category</t>
  </si>
  <si>
    <t>Sample Portfolio Model</t>
  </si>
  <si>
    <t>Large-Cap</t>
  </si>
  <si>
    <t>Mid-Cap</t>
  </si>
  <si>
    <t>Small-Cap</t>
  </si>
  <si>
    <t>% Holding</t>
  </si>
  <si>
    <t>VTI</t>
  </si>
  <si>
    <t>TQQQ</t>
  </si>
  <si>
    <t>CASH AVAILABILITY</t>
  </si>
  <si>
    <t>Dividend Stock</t>
  </si>
  <si>
    <t>$ Amount</t>
  </si>
  <si>
    <t>NFLX</t>
  </si>
  <si>
    <t>TSLA</t>
  </si>
  <si>
    <t>COLA</t>
  </si>
  <si>
    <t>CTRE</t>
  </si>
  <si>
    <t>KO</t>
  </si>
  <si>
    <t>Individual Stock (Large-Cap)</t>
  </si>
  <si>
    <t>Individual Stock (Mid-Cap)</t>
  </si>
  <si>
    <t>AROC</t>
  </si>
  <si>
    <t>FIX</t>
  </si>
  <si>
    <t>ENVA</t>
  </si>
  <si>
    <t>AGX</t>
  </si>
  <si>
    <t>ODD</t>
  </si>
  <si>
    <t>Portfolio % Weight</t>
  </si>
  <si>
    <t>Individual Stock (Small-Cap)</t>
  </si>
  <si>
    <t>Bonds (1-Yr)</t>
  </si>
  <si>
    <t>SHV</t>
  </si>
  <si>
    <t>Age</t>
  </si>
  <si>
    <t>Account Holder</t>
  </si>
  <si>
    <t>Address</t>
  </si>
  <si>
    <t>Date of Birth</t>
  </si>
  <si>
    <t>Secondary</t>
  </si>
  <si>
    <t>Investment Experience</t>
  </si>
  <si>
    <t>Investment Risk Tolerance</t>
  </si>
  <si>
    <t>Beginner</t>
  </si>
  <si>
    <t>Expert</t>
  </si>
  <si>
    <t>Professional</t>
  </si>
  <si>
    <t>YOLO ¯\_(ツ)_/¯</t>
  </si>
  <si>
    <t>Goals, Financial Planning (long &amp; short term), Financial Advice, Budgeting, Spending, Trips, Financial Circumstances, Questions?</t>
  </si>
  <si>
    <t>Pre-consultation Notes</t>
  </si>
  <si>
    <t>Leveraged Product</t>
  </si>
  <si>
    <t>Client  Profile</t>
  </si>
  <si>
    <t>Personal Information</t>
  </si>
  <si>
    <t>Account Information</t>
  </si>
  <si>
    <t>Investment Profile</t>
  </si>
  <si>
    <t>Phone Number</t>
  </si>
  <si>
    <t>Email Address</t>
  </si>
  <si>
    <t>Fill out the forum below prior to your consultation. Providing this information will help your advisor better understand your financial situation and goals.</t>
  </si>
  <si>
    <t>Advisor: LCPL JIANG</t>
  </si>
  <si>
    <t>First Name</t>
  </si>
  <si>
    <t>Last Name</t>
  </si>
  <si>
    <t>Date Of Birth</t>
  </si>
  <si>
    <t>Month</t>
  </si>
  <si>
    <t>Day</t>
  </si>
  <si>
    <t>Year</t>
  </si>
  <si>
    <t>Street Address, City, State/Province, Zip Code (optional)</t>
  </si>
  <si>
    <t>Occupation/Employer</t>
  </si>
  <si>
    <t>(optinal but useful context)</t>
  </si>
  <si>
    <t>Martial Status/Dependents</t>
  </si>
  <si>
    <t>(circle one)</t>
  </si>
  <si>
    <t>Account Type</t>
  </si>
  <si>
    <t>Joint (married)</t>
  </si>
  <si>
    <t>Joint (other)</t>
  </si>
  <si>
    <t>Single (individual)</t>
  </si>
  <si>
    <t>Custodial</t>
  </si>
  <si>
    <t>None</t>
  </si>
  <si>
    <t>Moderate</t>
  </si>
  <si>
    <t>&lt;1 year</t>
  </si>
  <si>
    <t>1-3 years</t>
  </si>
  <si>
    <t>3-5 years+</t>
  </si>
  <si>
    <t>Investment Objectives</t>
  </si>
  <si>
    <t>Growth</t>
  </si>
  <si>
    <t>Preservation</t>
  </si>
  <si>
    <t>Speculation</t>
  </si>
  <si>
    <t>Low-Risk</t>
  </si>
  <si>
    <t>Medium-Risk</t>
  </si>
  <si>
    <t>high risk high reward baby!!</t>
  </si>
  <si>
    <t>Investment Horizon</t>
  </si>
  <si>
    <t>Short-term</t>
  </si>
  <si>
    <t>Medium-term</t>
  </si>
  <si>
    <t>Long-term</t>
  </si>
  <si>
    <t>&lt;3 years</t>
  </si>
  <si>
    <t>3-5 years</t>
  </si>
  <si>
    <t>10+ years</t>
  </si>
  <si>
    <t>(optional but useful context)</t>
  </si>
  <si>
    <t>Medium Risk</t>
  </si>
  <si>
    <t>Experience</t>
  </si>
  <si>
    <t>high risk high reward baby!!!!!</t>
  </si>
  <si>
    <t>Professional (career)</t>
  </si>
  <si>
    <t>IREN</t>
  </si>
  <si>
    <t>CRWV</t>
  </si>
  <si>
    <t>APP</t>
  </si>
  <si>
    <t>IAU</t>
  </si>
  <si>
    <t>AXP</t>
  </si>
  <si>
    <t>CLS</t>
  </si>
  <si>
    <t>STRL</t>
  </si>
  <si>
    <t>HESM</t>
  </si>
  <si>
    <t>NBIS</t>
  </si>
  <si>
    <t>UUUU</t>
  </si>
  <si>
    <t>ORCL</t>
  </si>
  <si>
    <t>DBK</t>
  </si>
  <si>
    <t>QQQI</t>
  </si>
  <si>
    <t>SPYI</t>
  </si>
  <si>
    <t>CASH</t>
  </si>
  <si>
    <t>xxx-xxx-xxxx</t>
  </si>
  <si>
    <t>Personal-Email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</si>
</sst>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6" formatCode="&quot;$&quot;#,##0_);[Red]\(&quot;$&quot;#,##0\)"/>
    <numFmt numFmtId="7" formatCode="&quot;$&quot;#,##0.00_);\(&quot;$&quot;#,##0.00\)"/>
    <numFmt numFmtId="8" formatCode="&quot;$&quot;#,##0.00_);[Red]\(&quot;$&quot;#,##0.00\)"/>
    <numFmt numFmtId="44" formatCode="_(&quot;$&quot;* #,##0.00_);_(&quot;$&quot;* \(#,##0.00\);_(&quot;$&quot;* &quot;-&quot;??_);_(@_)"/>
    <numFmt numFmtId="164" formatCode="_([$$-409]* #,##0.00_);_([$$-409]* \(#,##0.00\);_([$$-409]* &quot;-&quot;??_);_(@_)"/>
    <numFmt numFmtId="165" formatCode="&quot;$&quot;#,##0.00"/>
    <numFmt numFmtId="166" formatCode="&quot;$&quot;#,##0"/>
    <numFmt numFmtId="167" formatCode="#,##0,,&quot;M&quot;\ "/>
    <numFmt numFmtId="168" formatCode="&quot;$&quot;#,##0&quot;/yr&quot;\ "/>
    <numFmt numFmtId="169" formatCode="mmm\-dd\-yyyy"/>
    <numFmt numFmtId="170" formatCode="[Green]\(\+0.00%\);[Red]\(\-0.00%\)\ "/>
    <numFmt numFmtId="171" formatCode="0.000"/>
    <numFmt numFmtId="172" formatCode="[$$-409]#,##0.00"/>
  </numFmts>
  <fonts count="51" x14ac:knownFonts="1">
    <font>
      <sz val="11"/>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b/>
      <sz val="11"/>
      <color theme="1"/>
      <name val="Aptos Narrow"/>
      <scheme val="minor"/>
    </font>
    <font>
      <sz val="12"/>
      <color rgb="FF9C5700"/>
      <name val="Aptos Narrow"/>
      <family val="2"/>
      <scheme val="minor"/>
    </font>
    <font>
      <sz val="12"/>
      <color theme="0"/>
      <name val="Aptos Narrow"/>
      <family val="2"/>
      <scheme val="minor"/>
    </font>
    <font>
      <b/>
      <sz val="12"/>
      <color rgb="FFFA7D00"/>
      <name val="Aptos Narrow"/>
      <family val="2"/>
      <scheme val="minor"/>
    </font>
    <font>
      <sz val="11"/>
      <color theme="1"/>
      <name val="Aptos Narrow"/>
      <scheme val="minor"/>
    </font>
    <font>
      <sz val="10"/>
      <color rgb="FF000000"/>
      <name val="Tahoma"/>
      <family val="2"/>
    </font>
    <font>
      <b/>
      <sz val="10"/>
      <color rgb="FF000000"/>
      <name val="Tahoma"/>
      <family val="2"/>
    </font>
    <font>
      <u/>
      <sz val="10"/>
      <color rgb="FF000000"/>
      <name val="Tahoma"/>
      <family val="2"/>
    </font>
    <font>
      <b/>
      <sz val="12"/>
      <color theme="1"/>
      <name val="Aptos Narrow"/>
      <scheme val="minor"/>
    </font>
    <font>
      <sz val="12"/>
      <color theme="1"/>
      <name val="Aptos Narrow"/>
      <scheme val="minor"/>
    </font>
    <font>
      <sz val="12"/>
      <color rgb="FF9C5700"/>
      <name val="Aptos Narrow"/>
      <scheme val="minor"/>
    </font>
    <font>
      <sz val="12"/>
      <color rgb="FFC00000"/>
      <name val="Aptos Narrow"/>
      <scheme val="minor"/>
    </font>
    <font>
      <sz val="12"/>
      <color theme="9"/>
      <name val="Aptos Narrow"/>
      <scheme val="minor"/>
    </font>
    <font>
      <b/>
      <sz val="11"/>
      <color rgb="FFFA7D00"/>
      <name val="Aptos Narrow"/>
      <family val="2"/>
      <scheme val="minor"/>
    </font>
    <font>
      <b/>
      <sz val="11"/>
      <color rgb="FFFA7D00"/>
      <name val="Aptos Narrow"/>
      <scheme val="minor"/>
    </font>
    <font>
      <sz val="14"/>
      <color theme="1"/>
      <name val="Aptos Narrow"/>
      <scheme val="minor"/>
    </font>
    <font>
      <sz val="14"/>
      <color rgb="FF00B050"/>
      <name val="Aptos Narrow"/>
      <scheme val="minor"/>
    </font>
    <font>
      <b/>
      <sz val="12"/>
      <color rgb="FFC00000"/>
      <name val="Aptos Narrow"/>
      <scheme val="minor"/>
    </font>
    <font>
      <sz val="11"/>
      <color theme="9"/>
      <name val="Aptos Narrow"/>
      <family val="2"/>
      <scheme val="minor"/>
    </font>
    <font>
      <sz val="11"/>
      <color rgb="FF9C5700"/>
      <name val="Aptos Narrow"/>
      <family val="2"/>
      <scheme val="minor"/>
    </font>
    <font>
      <sz val="11"/>
      <color theme="1"/>
      <name val="Aptos Narrow"/>
      <family val="2"/>
      <scheme val="minor"/>
    </font>
    <font>
      <sz val="12"/>
      <color rgb="FF006100"/>
      <name val="Aptos Narrow"/>
      <family val="2"/>
      <scheme val="minor"/>
    </font>
    <font>
      <b/>
      <sz val="13.5"/>
      <color theme="1"/>
      <name val="Aptos Narrow"/>
      <family val="2"/>
      <scheme val="minor"/>
    </font>
    <font>
      <b/>
      <sz val="12"/>
      <color rgb="FF3F3F3F"/>
      <name val="Aptos Narrow"/>
      <family val="2"/>
      <scheme val="minor"/>
    </font>
    <font>
      <sz val="14"/>
      <color theme="0"/>
      <name val="Aptos Narrow"/>
      <family val="2"/>
      <scheme val="minor"/>
    </font>
    <font>
      <sz val="14"/>
      <color theme="0"/>
      <name val="Aptos Narrow"/>
      <scheme val="minor"/>
    </font>
    <font>
      <sz val="12"/>
      <color theme="0"/>
      <name val="Aptos Narrow"/>
      <scheme val="minor"/>
    </font>
    <font>
      <sz val="12"/>
      <color rgb="FF006100"/>
      <name val="Aptos Narrow"/>
      <scheme val="minor"/>
    </font>
    <font>
      <sz val="12"/>
      <color rgb="FF3F3F3F"/>
      <name val="Aptos Narrow"/>
      <scheme val="minor"/>
    </font>
    <font>
      <sz val="11"/>
      <color rgb="FFFF0000"/>
      <name val="Aptos Narrow"/>
      <family val="2"/>
      <scheme val="minor"/>
    </font>
    <font>
      <sz val="11"/>
      <color rgb="FF3F3F3F"/>
      <name val="Aptos Narrow"/>
      <scheme val="minor"/>
    </font>
    <font>
      <i/>
      <sz val="12"/>
      <color theme="0"/>
      <name val="Aptos Narrow"/>
      <scheme val="minor"/>
    </font>
    <font>
      <i/>
      <sz val="36"/>
      <color theme="3" tint="0.249977111117893"/>
      <name val="Aptos Narrow (Body)"/>
    </font>
    <font>
      <i/>
      <sz val="36"/>
      <color theme="0"/>
      <name val="Aptos Narrow"/>
      <family val="2"/>
      <scheme val="minor"/>
    </font>
    <font>
      <sz val="16"/>
      <color theme="0"/>
      <name val="Aptos Narrow"/>
      <family val="2"/>
      <scheme val="minor"/>
    </font>
    <font>
      <sz val="12"/>
      <color rgb="FFFA7D00"/>
      <name val="Aptos Narrow"/>
      <scheme val="minor"/>
    </font>
    <font>
      <b/>
      <sz val="14"/>
      <color theme="0"/>
      <name val="Aptos Narrow"/>
      <scheme val="minor"/>
    </font>
    <font>
      <sz val="14"/>
      <color theme="1"/>
      <name val="Aptos Narrow"/>
      <family val="2"/>
      <scheme val="minor"/>
    </font>
    <font>
      <sz val="10"/>
      <color theme="1"/>
      <name val="Aptos Narrow"/>
      <family val="2"/>
      <scheme val="minor"/>
    </font>
    <font>
      <b/>
      <sz val="14"/>
      <color theme="1"/>
      <name val="Aptos Narrow"/>
      <scheme val="minor"/>
    </font>
    <font>
      <b/>
      <sz val="18"/>
      <color theme="1"/>
      <name val="Aptos Narrow"/>
      <scheme val="minor"/>
    </font>
    <font>
      <b/>
      <sz val="20"/>
      <color theme="1"/>
      <name val="Aptos Narrow"/>
      <scheme val="minor"/>
    </font>
    <font>
      <b/>
      <sz val="22"/>
      <color theme="1"/>
      <name val="Aptos Narrow"/>
      <scheme val="minor"/>
    </font>
    <font>
      <sz val="18"/>
      <color theme="1"/>
      <name val="Aptos Narrow"/>
      <scheme val="minor"/>
    </font>
    <font>
      <sz val="16"/>
      <color theme="1"/>
      <name val="Aptos Narrow"/>
      <family val="2"/>
      <scheme val="minor"/>
    </font>
    <font>
      <sz val="10"/>
      <color rgb="FF000000"/>
      <name val="Aptos Narrow"/>
    </font>
  </fonts>
  <fills count="17">
    <fill>
      <patternFill patternType="none"/>
    </fill>
    <fill>
      <patternFill patternType="gray125"/>
    </fill>
    <fill>
      <patternFill patternType="solid">
        <fgColor theme="0"/>
        <bgColor indexed="64"/>
      </patternFill>
    </fill>
    <fill>
      <patternFill patternType="solid">
        <fgColor rgb="FFFFEB9C"/>
      </patternFill>
    </fill>
    <fill>
      <patternFill patternType="solid">
        <fgColor theme="4"/>
      </patternFill>
    </fill>
    <fill>
      <patternFill patternType="solid">
        <fgColor rgb="FFF2F2F2"/>
      </patternFill>
    </fill>
    <fill>
      <patternFill patternType="solid">
        <fgColor rgb="FFFFC30B"/>
        <bgColor indexed="64"/>
      </patternFill>
    </fill>
    <fill>
      <patternFill patternType="solid">
        <fgColor rgb="FFFFFFFF"/>
        <bgColor rgb="FF000000"/>
      </patternFill>
    </fill>
    <fill>
      <patternFill patternType="solid">
        <fgColor rgb="FFFFEB9C"/>
        <bgColor rgb="FF000000"/>
      </patternFill>
    </fill>
    <fill>
      <patternFill patternType="solid">
        <fgColor theme="0"/>
        <bgColor rgb="FF000000"/>
      </patternFill>
    </fill>
    <fill>
      <patternFill patternType="solid">
        <fgColor theme="0"/>
      </patternFill>
    </fill>
    <fill>
      <patternFill patternType="solid">
        <fgColor rgb="FFC6EFCE"/>
      </patternFill>
    </fill>
    <fill>
      <patternFill patternType="solid">
        <fgColor theme="4" tint="0.79998168889431442"/>
        <bgColor indexed="65"/>
      </patternFill>
    </fill>
    <fill>
      <patternFill patternType="solid">
        <fgColor rgb="FFE5B73B"/>
        <bgColor indexed="64"/>
      </patternFill>
    </fill>
    <fill>
      <patternFill patternType="solid">
        <fgColor rgb="FFF2F4F7"/>
        <bgColor indexed="64"/>
      </patternFill>
    </fill>
    <fill>
      <patternFill patternType="solid">
        <fgColor rgb="FFEAF2FA"/>
        <bgColor indexed="64"/>
      </patternFill>
    </fill>
    <fill>
      <patternFill patternType="solid">
        <fgColor theme="9"/>
      </patternFill>
    </fill>
  </fills>
  <borders count="55">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rgb="FF7F7F7F"/>
      </right>
      <top style="thin">
        <color auto="1"/>
      </top>
      <bottom style="thin">
        <color rgb="FF7F7F7F"/>
      </bottom>
      <diagonal/>
    </border>
    <border>
      <left style="thin">
        <color auto="1"/>
      </left>
      <right style="thin">
        <color auto="1"/>
      </right>
      <top style="thin">
        <color auto="1"/>
      </top>
      <bottom style="thin">
        <color auto="1"/>
      </bottom>
      <diagonal/>
    </border>
    <border>
      <left style="thin">
        <color theme="9"/>
      </left>
      <right style="thin">
        <color theme="9"/>
      </right>
      <top style="thin">
        <color theme="9"/>
      </top>
      <bottom/>
      <diagonal/>
    </border>
    <border>
      <left style="thin">
        <color theme="9"/>
      </left>
      <right style="thin">
        <color theme="9"/>
      </right>
      <top/>
      <bottom style="thin">
        <color auto="1"/>
      </bottom>
      <diagonal/>
    </border>
    <border>
      <left style="thin">
        <color theme="9"/>
      </left>
      <right style="thin">
        <color theme="9"/>
      </right>
      <top style="thin">
        <color auto="1"/>
      </top>
      <bottom style="thin">
        <color theme="9"/>
      </bottom>
      <diagonal/>
    </border>
    <border>
      <left style="thin">
        <color theme="9"/>
      </left>
      <right style="thin">
        <color theme="9"/>
      </right>
      <top/>
      <bottom style="thin">
        <color theme="9"/>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
      <left/>
      <right/>
      <top/>
      <bottom style="thin">
        <color theme="0" tint="-0.14996795556505021"/>
      </bottom>
      <diagonal/>
    </border>
    <border>
      <left/>
      <right/>
      <top style="thin">
        <color theme="0" tint="-0.14996795556505021"/>
      </top>
      <bottom/>
      <diagonal/>
    </border>
    <border>
      <left style="thin">
        <color theme="0" tint="-0.14993743705557422"/>
      </left>
      <right style="thin">
        <color theme="0" tint="-0.14993743705557422"/>
      </right>
      <top style="thin">
        <color theme="0" tint="-0.14993743705557422"/>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3F3F3F"/>
      </left>
      <right style="thin">
        <color rgb="FF3F3F3F"/>
      </right>
      <top style="thin">
        <color rgb="FF3F3F3F"/>
      </top>
      <bottom style="thin">
        <color rgb="FF3F3F3F"/>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auto="1"/>
      </right>
      <top/>
      <bottom style="thin">
        <color theme="0" tint="-0.14996795556505021"/>
      </bottom>
      <diagonal/>
    </border>
    <border>
      <left style="thin">
        <color auto="1"/>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auto="1"/>
      </top>
      <bottom style="thin">
        <color auto="1"/>
      </bottom>
      <diagonal/>
    </border>
    <border>
      <left/>
      <right style="thin">
        <color theme="1"/>
      </right>
      <top style="thin">
        <color theme="1"/>
      </top>
      <bottom style="thin">
        <color theme="1"/>
      </bottom>
      <diagonal/>
    </border>
    <border>
      <left/>
      <right style="thin">
        <color theme="1"/>
      </right>
      <top/>
      <bottom style="thin">
        <color theme="1"/>
      </bottom>
      <diagonal/>
    </border>
    <border>
      <left/>
      <right style="thin">
        <color auto="1"/>
      </right>
      <top style="thin">
        <color theme="1"/>
      </top>
      <bottom style="thin">
        <color theme="1"/>
      </bottom>
      <diagonal/>
    </border>
    <border>
      <left style="thin">
        <color theme="0" tint="-0.14996795556505021"/>
      </left>
      <right style="thin">
        <color auto="1"/>
      </right>
      <top style="thin">
        <color auto="1"/>
      </top>
      <bottom style="thin">
        <color auto="1"/>
      </bottom>
      <diagonal/>
    </border>
    <border>
      <left style="thin">
        <color theme="0" tint="-0.14996795556505021"/>
      </left>
      <right style="thin">
        <color auto="1"/>
      </right>
      <top/>
      <bottom/>
      <diagonal/>
    </border>
    <border>
      <left/>
      <right style="thin">
        <color theme="1"/>
      </right>
      <top style="thin">
        <color auto="1"/>
      </top>
      <bottom style="thin">
        <color theme="1"/>
      </bottom>
      <diagonal/>
    </border>
    <border>
      <left/>
      <right style="thin">
        <color rgb="FF7F7F7F"/>
      </right>
      <top/>
      <bottom style="thin">
        <color rgb="FF7F7F7F"/>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0691854609822"/>
      </left>
      <right/>
      <top style="thin">
        <color theme="0" tint="-0.14993743705557422"/>
      </top>
      <bottom style="thin">
        <color theme="0" tint="-0.14993743705557422"/>
      </bottom>
      <diagonal/>
    </border>
    <border>
      <left style="thin">
        <color theme="0" tint="-0.14993743705557422"/>
      </left>
      <right/>
      <top style="thin">
        <color theme="0" tint="-0.14996795556505021"/>
      </top>
      <bottom style="thin">
        <color theme="0" tint="-0.14996795556505021"/>
      </bottom>
      <diagonal/>
    </border>
    <border>
      <left style="thin">
        <color theme="0" tint="-0.14993743705557422"/>
      </left>
      <right/>
      <top/>
      <bottom/>
      <diagonal/>
    </border>
    <border>
      <left/>
      <right style="thin">
        <color theme="0" tint="-0.14993743705557422"/>
      </right>
      <top style="thin">
        <color theme="0" tint="-0.14996795556505021"/>
      </top>
      <bottom style="thin">
        <color theme="0" tint="-0.14996795556505021"/>
      </bottom>
      <diagonal/>
    </border>
    <border>
      <left style="thin">
        <color theme="2" tint="-9.9948118533890809E-2"/>
      </left>
      <right style="thin">
        <color theme="2" tint="-9.9948118533890809E-2"/>
      </right>
      <top style="thin">
        <color theme="2" tint="-9.9948118533890809E-2"/>
      </top>
      <bottom style="thin">
        <color theme="2" tint="-9.9917600024414813E-2"/>
      </bottom>
      <diagonal/>
    </border>
    <border>
      <left style="thin">
        <color theme="2" tint="-9.9948118533890809E-2"/>
      </left>
      <right style="thin">
        <color theme="2" tint="-9.9948118533890809E-2"/>
      </right>
      <top style="thin">
        <color theme="2" tint="-9.9917600024414813E-2"/>
      </top>
      <bottom style="thin">
        <color theme="2" tint="-9.9917600024414813E-2"/>
      </bottom>
      <diagonal/>
    </border>
    <border>
      <left style="thin">
        <color theme="2" tint="-9.9948118533890809E-2"/>
      </left>
      <right style="thin">
        <color theme="2" tint="-9.9948118533890809E-2"/>
      </right>
      <top style="thin">
        <color theme="2" tint="-9.9917600024414813E-2"/>
      </top>
      <bottom style="thin">
        <color theme="2" tint="-9.9948118533890809E-2"/>
      </bottom>
      <diagonal/>
    </border>
  </borders>
  <cellStyleXfs count="23">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12" applyNumberFormat="0" applyAlignment="0" applyProtection="0"/>
    <xf numFmtId="9" fontId="25" fillId="0" borderId="0" applyFont="0" applyFill="0" applyBorder="0" applyAlignment="0" applyProtection="0"/>
    <xf numFmtId="0" fontId="26" fillId="11" borderId="0" applyNumberFormat="0" applyBorder="0" applyAlignment="0" applyProtection="0"/>
    <xf numFmtId="0" fontId="28" fillId="5" borderId="29" applyNumberFormat="0" applyAlignment="0" applyProtection="0"/>
    <xf numFmtId="0" fontId="25" fillId="14" borderId="3"/>
    <xf numFmtId="0" fontId="31" fillId="13" borderId="0"/>
    <xf numFmtId="6" fontId="30" fillId="4" borderId="0"/>
    <xf numFmtId="6" fontId="25" fillId="0" borderId="30"/>
    <xf numFmtId="0" fontId="3" fillId="12" borderId="3"/>
    <xf numFmtId="0" fontId="25" fillId="15" borderId="1"/>
    <xf numFmtId="6" fontId="25" fillId="0" borderId="33"/>
    <xf numFmtId="0" fontId="5" fillId="15" borderId="5"/>
    <xf numFmtId="6" fontId="33" fillId="5" borderId="34"/>
    <xf numFmtId="0" fontId="7" fillId="16" borderId="0" applyNumberFormat="0" applyBorder="0" applyAlignment="0" applyProtection="0"/>
    <xf numFmtId="6" fontId="34" fillId="0" borderId="33"/>
    <xf numFmtId="0" fontId="7" fillId="16" borderId="5"/>
    <xf numFmtId="0" fontId="49" fillId="2" borderId="0"/>
    <xf numFmtId="0" fontId="45" fillId="2" borderId="0"/>
    <xf numFmtId="0" fontId="1" fillId="2" borderId="0">
      <alignment vertical="top"/>
    </xf>
    <xf numFmtId="0" fontId="42" fillId="2" borderId="0"/>
  </cellStyleXfs>
  <cellXfs count="388">
    <xf numFmtId="0" fontId="0" fillId="0" borderId="0" xfId="0"/>
    <xf numFmtId="0" fontId="0" fillId="2" borderId="0" xfId="0" applyFill="1"/>
    <xf numFmtId="6" fontId="0" fillId="2" borderId="0" xfId="0" applyNumberFormat="1" applyFill="1"/>
    <xf numFmtId="0" fontId="14" fillId="2" borderId="0" xfId="0" applyFont="1" applyFill="1"/>
    <xf numFmtId="0" fontId="14" fillId="2" borderId="0" xfId="0" applyFont="1" applyFill="1" applyAlignment="1">
      <alignment horizontal="center"/>
    </xf>
    <xf numFmtId="0" fontId="13" fillId="2" borderId="0" xfId="0" applyFont="1" applyFill="1" applyAlignment="1">
      <alignment horizontal="center" vertical="center"/>
    </xf>
    <xf numFmtId="0" fontId="14" fillId="2" borderId="0" xfId="0" applyFont="1" applyFill="1" applyAlignment="1">
      <alignment horizontal="center" vertical="center"/>
    </xf>
    <xf numFmtId="168" fontId="15" fillId="10" borderId="0" xfId="1" applyNumberFormat="1" applyFont="1" applyFill="1" applyBorder="1" applyAlignment="1">
      <alignment horizontal="center"/>
    </xf>
    <xf numFmtId="0" fontId="13" fillId="2" borderId="0" xfId="0" applyFont="1" applyFill="1" applyAlignment="1">
      <alignment horizontal="center"/>
    </xf>
    <xf numFmtId="168" fontId="15" fillId="9" borderId="0" xfId="0" applyNumberFormat="1" applyFont="1" applyFill="1" applyAlignment="1">
      <alignment horizontal="center"/>
    </xf>
    <xf numFmtId="0" fontId="16" fillId="2" borderId="0" xfId="0" applyFont="1" applyFill="1" applyAlignment="1">
      <alignment horizontal="center"/>
    </xf>
    <xf numFmtId="0" fontId="16" fillId="10" borderId="0" xfId="1" applyFont="1" applyFill="1" applyBorder="1" applyAlignment="1">
      <alignment horizontal="center"/>
    </xf>
    <xf numFmtId="6" fontId="14" fillId="2" borderId="0" xfId="1" applyNumberFormat="1" applyFont="1" applyFill="1" applyBorder="1" applyAlignment="1">
      <alignment horizontal="center"/>
    </xf>
    <xf numFmtId="6" fontId="17" fillId="10" borderId="0" xfId="1" applyNumberFormat="1" applyFont="1" applyFill="1" applyBorder="1" applyAlignment="1">
      <alignment horizontal="center"/>
    </xf>
    <xf numFmtId="6" fontId="6" fillId="2" borderId="0" xfId="1" applyNumberFormat="1" applyFill="1" applyBorder="1"/>
    <xf numFmtId="0" fontId="7" fillId="2" borderId="0" xfId="2" applyNumberFormat="1" applyFill="1" applyAlignment="1">
      <alignment horizontal="left"/>
    </xf>
    <xf numFmtId="44" fontId="0" fillId="2" borderId="0" xfId="0" applyNumberFormat="1" applyFill="1"/>
    <xf numFmtId="0" fontId="3" fillId="2" borderId="0" xfId="11" applyFill="1" applyBorder="1"/>
    <xf numFmtId="0" fontId="29" fillId="2" borderId="0" xfId="2" applyNumberFormat="1" applyFont="1" applyFill="1" applyBorder="1" applyAlignment="1"/>
    <xf numFmtId="0" fontId="20" fillId="2" borderId="0" xfId="0" applyFont="1" applyFill="1"/>
    <xf numFmtId="0" fontId="0" fillId="2" borderId="0" xfId="0" applyFill="1" applyAlignment="1">
      <alignment horizontal="left"/>
    </xf>
    <xf numFmtId="0" fontId="1" fillId="2" borderId="0" xfId="0" applyFont="1" applyFill="1"/>
    <xf numFmtId="0" fontId="1" fillId="2" borderId="0" xfId="0" applyFont="1" applyFill="1" applyAlignment="1">
      <alignment vertical="top"/>
    </xf>
    <xf numFmtId="0" fontId="44" fillId="2" borderId="0" xfId="0" applyFont="1" applyFill="1"/>
    <xf numFmtId="0" fontId="43" fillId="2" borderId="0" xfId="0" applyFont="1" applyFill="1" applyAlignment="1">
      <alignment vertical="top"/>
    </xf>
    <xf numFmtId="0" fontId="45" fillId="2" borderId="0" xfId="0" applyFont="1" applyFill="1"/>
    <xf numFmtId="0" fontId="0" fillId="2" borderId="0" xfId="0" applyFill="1" applyAlignment="1">
      <alignment vertical="top" wrapText="1"/>
    </xf>
    <xf numFmtId="0" fontId="43" fillId="2" borderId="0" xfId="0" applyFont="1" applyFill="1" applyAlignment="1">
      <alignment vertical="top" wrapText="1"/>
    </xf>
    <xf numFmtId="0" fontId="43" fillId="2" borderId="0" xfId="0" applyFont="1" applyFill="1" applyAlignment="1">
      <alignment vertical="top" shrinkToFit="1"/>
    </xf>
    <xf numFmtId="0" fontId="45" fillId="2" borderId="0" xfId="0" applyFont="1" applyFill="1" applyAlignment="1" applyProtection="1">
      <alignment vertical="top"/>
      <protection locked="0"/>
    </xf>
    <xf numFmtId="0" fontId="1" fillId="2" borderId="0" xfId="21">
      <alignment vertical="top"/>
    </xf>
    <xf numFmtId="0" fontId="42" fillId="2" borderId="0" xfId="22"/>
    <xf numFmtId="0" fontId="0" fillId="2" borderId="50" xfId="0" applyFill="1" applyBorder="1"/>
    <xf numFmtId="6" fontId="6" fillId="2" borderId="0" xfId="1" applyNumberFormat="1" applyFill="1" applyBorder="1" applyProtection="1">
      <protection locked="0" hidden="1"/>
    </xf>
    <xf numFmtId="0" fontId="0" fillId="2" borderId="0" xfId="0" applyFill="1" applyProtection="1">
      <protection locked="0" hidden="1"/>
    </xf>
    <xf numFmtId="6" fontId="6" fillId="6" borderId="3" xfId="1" applyNumberFormat="1" applyFill="1" applyBorder="1" applyProtection="1">
      <protection locked="0" hidden="1"/>
    </xf>
    <xf numFmtId="6" fontId="6" fillId="6" borderId="0" xfId="1" applyNumberFormat="1" applyFill="1" applyBorder="1" applyProtection="1">
      <protection locked="0" hidden="1"/>
    </xf>
    <xf numFmtId="6" fontId="6" fillId="6" borderId="4" xfId="1" applyNumberFormat="1" applyFill="1" applyBorder="1" applyProtection="1">
      <protection locked="0" hidden="1"/>
    </xf>
    <xf numFmtId="0" fontId="7" fillId="2" borderId="0" xfId="2" applyNumberFormat="1" applyFill="1" applyAlignment="1" applyProtection="1">
      <alignment horizontal="left"/>
      <protection locked="0" hidden="1"/>
    </xf>
    <xf numFmtId="0" fontId="13" fillId="2" borderId="13" xfId="0" applyFont="1" applyFill="1" applyBorder="1" applyProtection="1">
      <protection locked="0" hidden="1"/>
    </xf>
    <xf numFmtId="165" fontId="4" fillId="2" borderId="15" xfId="0" applyNumberFormat="1" applyFont="1" applyFill="1" applyBorder="1" applyAlignment="1" applyProtection="1">
      <alignment horizontal="left"/>
      <protection locked="0" hidden="1"/>
    </xf>
    <xf numFmtId="0" fontId="5" fillId="2" borderId="1" xfId="0" applyFont="1" applyFill="1" applyBorder="1" applyProtection="1">
      <protection locked="0" hidden="1"/>
    </xf>
    <xf numFmtId="165" fontId="0" fillId="2" borderId="2" xfId="0" applyNumberFormat="1" applyFill="1" applyBorder="1" applyProtection="1">
      <protection locked="0" hidden="1"/>
    </xf>
    <xf numFmtId="0" fontId="0" fillId="2" borderId="4" xfId="0" applyFill="1" applyBorder="1" applyProtection="1">
      <protection locked="0" hidden="1"/>
    </xf>
    <xf numFmtId="0" fontId="14" fillId="2" borderId="3" xfId="0" applyFont="1" applyFill="1" applyBorder="1" applyProtection="1">
      <protection locked="0" hidden="1"/>
    </xf>
    <xf numFmtId="165" fontId="4" fillId="2" borderId="4" xfId="0" applyNumberFormat="1" applyFont="1" applyFill="1" applyBorder="1" applyAlignment="1" applyProtection="1">
      <alignment horizontal="left"/>
      <protection locked="0" hidden="1"/>
    </xf>
    <xf numFmtId="0" fontId="0" fillId="2" borderId="3" xfId="0" applyFill="1" applyBorder="1" applyProtection="1">
      <protection locked="0" hidden="1"/>
    </xf>
    <xf numFmtId="10" fontId="0" fillId="2" borderId="17" xfId="0" applyNumberFormat="1" applyFill="1" applyBorder="1" applyProtection="1">
      <protection locked="0" hidden="1"/>
    </xf>
    <xf numFmtId="0" fontId="13" fillId="2" borderId="5" xfId="0" applyFont="1" applyFill="1" applyBorder="1" applyProtection="1">
      <protection locked="0" hidden="1"/>
    </xf>
    <xf numFmtId="0" fontId="4" fillId="2" borderId="6" xfId="0" applyFont="1" applyFill="1" applyBorder="1" applyAlignment="1" applyProtection="1">
      <alignment horizontal="left"/>
      <protection locked="0" hidden="1"/>
    </xf>
    <xf numFmtId="0" fontId="0" fillId="2" borderId="5" xfId="0" applyFill="1" applyBorder="1" applyProtection="1">
      <protection locked="0" hidden="1"/>
    </xf>
    <xf numFmtId="0" fontId="14" fillId="2" borderId="17" xfId="0" applyFont="1" applyFill="1" applyBorder="1" applyProtection="1">
      <protection locked="0" hidden="1"/>
    </xf>
    <xf numFmtId="166" fontId="6" fillId="3" borderId="2" xfId="1" applyNumberFormat="1" applyBorder="1" applyAlignment="1" applyProtection="1">
      <alignment horizontal="left"/>
      <protection locked="0" hidden="1"/>
    </xf>
    <xf numFmtId="165" fontId="0" fillId="2" borderId="0" xfId="0" applyNumberFormat="1" applyFill="1" applyProtection="1">
      <protection locked="0" hidden="1"/>
    </xf>
    <xf numFmtId="0" fontId="5" fillId="2" borderId="8" xfId="0" applyFont="1" applyFill="1" applyBorder="1" applyAlignment="1" applyProtection="1">
      <alignment horizontal="center"/>
      <protection locked="0" hidden="1"/>
    </xf>
    <xf numFmtId="0" fontId="5" fillId="2" borderId="8" xfId="0" applyFont="1" applyFill="1" applyBorder="1" applyProtection="1">
      <protection locked="0" hidden="1"/>
    </xf>
    <xf numFmtId="10" fontId="0" fillId="2" borderId="0" xfId="0" applyNumberFormat="1" applyFill="1" applyProtection="1">
      <protection locked="0" hidden="1"/>
    </xf>
    <xf numFmtId="0" fontId="24" fillId="3" borderId="17" xfId="1" applyFont="1" applyBorder="1" applyAlignment="1" applyProtection="1">
      <alignment horizontal="center"/>
      <protection locked="0" hidden="1"/>
    </xf>
    <xf numFmtId="8" fontId="0" fillId="2" borderId="17" xfId="0" applyNumberFormat="1" applyFill="1" applyBorder="1" applyAlignment="1" applyProtection="1">
      <alignment horizontal="left"/>
      <protection locked="0" hidden="1"/>
    </xf>
    <xf numFmtId="0" fontId="5" fillId="2" borderId="17" xfId="0" applyFont="1" applyFill="1" applyBorder="1" applyProtection="1">
      <protection locked="0" hidden="1"/>
    </xf>
    <xf numFmtId="0" fontId="5" fillId="2" borderId="17" xfId="0" applyFont="1" applyFill="1" applyBorder="1" applyAlignment="1" applyProtection="1">
      <alignment horizontal="left"/>
      <protection locked="0" hidden="1"/>
    </xf>
    <xf numFmtId="0" fontId="5" fillId="2" borderId="1" xfId="0" quotePrefix="1" applyFont="1" applyFill="1" applyBorder="1" applyAlignment="1" applyProtection="1">
      <alignment horizontal="left"/>
      <protection locked="0" hidden="1"/>
    </xf>
    <xf numFmtId="0" fontId="5" fillId="2" borderId="2" xfId="0" applyFont="1" applyFill="1" applyBorder="1" applyProtection="1">
      <protection locked="0" hidden="1"/>
    </xf>
    <xf numFmtId="0" fontId="5" fillId="2" borderId="2" xfId="0" applyFont="1" applyFill="1" applyBorder="1" applyAlignment="1" applyProtection="1">
      <alignment horizontal="left"/>
      <protection locked="0" hidden="1"/>
    </xf>
    <xf numFmtId="0" fontId="0" fillId="2" borderId="17" xfId="0" applyFill="1" applyBorder="1" applyProtection="1">
      <protection locked="0" hidden="1"/>
    </xf>
    <xf numFmtId="172" fontId="0" fillId="2" borderId="17" xfId="0" applyNumberFormat="1" applyFill="1" applyBorder="1" applyAlignment="1" applyProtection="1">
      <alignment horizontal="right"/>
      <protection locked="0" hidden="1"/>
    </xf>
    <xf numFmtId="7" fontId="0" fillId="2" borderId="17" xfId="0" applyNumberFormat="1" applyFill="1" applyBorder="1" applyAlignment="1" applyProtection="1">
      <alignment horizontal="right"/>
      <protection locked="0" hidden="1"/>
    </xf>
    <xf numFmtId="0" fontId="0" fillId="2" borderId="17" xfId="0" applyFill="1" applyBorder="1" applyAlignment="1" applyProtection="1">
      <alignment horizontal="right"/>
      <protection locked="0" hidden="1"/>
    </xf>
    <xf numFmtId="165" fontId="0" fillId="2" borderId="17" xfId="0" applyNumberFormat="1" applyFill="1" applyBorder="1" applyAlignment="1" applyProtection="1">
      <alignment horizontal="right"/>
      <protection locked="0" hidden="1"/>
    </xf>
    <xf numFmtId="165" fontId="23" fillId="2" borderId="1" xfId="0" applyNumberFormat="1" applyFont="1" applyFill="1" applyBorder="1" applyAlignment="1" applyProtection="1">
      <alignment horizontal="right"/>
      <protection locked="0" hidden="1"/>
    </xf>
    <xf numFmtId="170" fontId="0" fillId="2" borderId="2" xfId="0" applyNumberFormat="1" applyFill="1" applyBorder="1" applyProtection="1">
      <protection locked="0" hidden="1"/>
    </xf>
    <xf numFmtId="7" fontId="23" fillId="0" borderId="1" xfId="0" applyNumberFormat="1" applyFont="1" applyBorder="1" applyAlignment="1" applyProtection="1">
      <alignment horizontal="right"/>
      <protection locked="0" hidden="1"/>
    </xf>
    <xf numFmtId="170" fontId="23" fillId="2" borderId="2" xfId="0" applyNumberFormat="1" applyFont="1" applyFill="1" applyBorder="1" applyAlignment="1" applyProtection="1">
      <alignment horizontal="left"/>
      <protection locked="0" hidden="1"/>
    </xf>
    <xf numFmtId="44" fontId="0" fillId="2" borderId="0" xfId="0" applyNumberFormat="1" applyFill="1" applyProtection="1">
      <protection locked="0" hidden="1"/>
    </xf>
    <xf numFmtId="0" fontId="0" fillId="2" borderId="1" xfId="0" applyFill="1" applyBorder="1" applyProtection="1">
      <protection locked="0" hidden="1"/>
    </xf>
    <xf numFmtId="165" fontId="0" fillId="2" borderId="17" xfId="0" applyNumberFormat="1" applyFill="1" applyBorder="1" applyAlignment="1" applyProtection="1">
      <alignment horizontal="left"/>
      <protection locked="0" hidden="1"/>
    </xf>
    <xf numFmtId="0" fontId="29" fillId="4" borderId="3" xfId="2" applyNumberFormat="1" applyFont="1" applyBorder="1" applyAlignment="1" applyProtection="1">
      <alignment horizontal="center"/>
      <protection locked="0" hidden="1"/>
    </xf>
    <xf numFmtId="0" fontId="29" fillId="4" borderId="0" xfId="2" applyNumberFormat="1" applyFont="1" applyBorder="1" applyAlignment="1" applyProtection="1">
      <alignment horizontal="center"/>
      <protection locked="0" hidden="1"/>
    </xf>
    <xf numFmtId="0" fontId="29" fillId="4" borderId="4" xfId="2" applyNumberFormat="1" applyFont="1" applyBorder="1" applyAlignment="1" applyProtection="1">
      <alignment horizontal="center"/>
      <protection locked="0" hidden="1"/>
    </xf>
    <xf numFmtId="4" fontId="4" fillId="2" borderId="4" xfId="0" applyNumberFormat="1" applyFont="1" applyFill="1" applyBorder="1" applyAlignment="1" applyProtection="1">
      <alignment horizontal="left"/>
      <protection locked="0" hidden="1"/>
    </xf>
    <xf numFmtId="165" fontId="6" fillId="3" borderId="17" xfId="1" applyNumberFormat="1" applyBorder="1" applyAlignment="1" applyProtection="1">
      <alignment horizontal="left"/>
      <protection locked="0" hidden="1"/>
    </xf>
    <xf numFmtId="10" fontId="0" fillId="2" borderId="0" xfId="4" applyNumberFormat="1" applyFont="1" applyFill="1" applyBorder="1" applyProtection="1">
      <protection locked="0" hidden="1"/>
    </xf>
    <xf numFmtId="164" fontId="0" fillId="2" borderId="17" xfId="0" applyNumberFormat="1" applyFill="1" applyBorder="1" applyAlignment="1" applyProtection="1">
      <alignment horizontal="right"/>
      <protection locked="0" hidden="1"/>
    </xf>
    <xf numFmtId="44" fontId="0" fillId="2" borderId="17" xfId="0" applyNumberFormat="1" applyFill="1" applyBorder="1" applyAlignment="1" applyProtection="1">
      <alignment horizontal="right"/>
      <protection locked="0" hidden="1"/>
    </xf>
    <xf numFmtId="171" fontId="0" fillId="2" borderId="17" xfId="0" applyNumberFormat="1" applyFill="1" applyBorder="1" applyAlignment="1" applyProtection="1">
      <alignment horizontal="right"/>
      <protection locked="0" hidden="1"/>
    </xf>
    <xf numFmtId="0" fontId="0" fillId="2" borderId="17" xfId="0" applyFill="1" applyBorder="1" applyAlignment="1" applyProtection="1">
      <alignment horizontal="center"/>
      <protection locked="0" hidden="1"/>
    </xf>
    <xf numFmtId="164" fontId="0" fillId="2" borderId="17" xfId="0" applyNumberFormat="1" applyFill="1" applyBorder="1" applyAlignment="1" applyProtection="1">
      <alignment horizontal="center"/>
      <protection locked="0" hidden="1"/>
    </xf>
    <xf numFmtId="44" fontId="0" fillId="2" borderId="17" xfId="0" applyNumberFormat="1" applyFill="1" applyBorder="1" applyAlignment="1" applyProtection="1">
      <alignment horizontal="center"/>
      <protection locked="0" hidden="1"/>
    </xf>
    <xf numFmtId="0" fontId="0" fillId="2" borderId="11" xfId="0" applyFill="1" applyBorder="1" applyProtection="1">
      <protection locked="0" hidden="1"/>
    </xf>
    <xf numFmtId="0" fontId="0" fillId="2" borderId="6" xfId="0" applyFill="1" applyBorder="1" applyProtection="1">
      <protection locked="0" hidden="1"/>
    </xf>
    <xf numFmtId="0" fontId="41" fillId="4" borderId="3" xfId="2" applyNumberFormat="1" applyFont="1" applyBorder="1" applyAlignment="1" applyProtection="1">
      <alignment horizontal="left"/>
      <protection locked="0" hidden="1"/>
    </xf>
    <xf numFmtId="0" fontId="7" fillId="4" borderId="0" xfId="2" applyNumberFormat="1" applyAlignment="1" applyProtection="1">
      <alignment horizontal="left"/>
      <protection locked="0" hidden="1"/>
    </xf>
    <xf numFmtId="0" fontId="29" fillId="4" borderId="0" xfId="2" applyNumberFormat="1" applyFont="1" applyAlignment="1" applyProtection="1">
      <alignment horizontal="center"/>
      <protection locked="0" hidden="1"/>
    </xf>
    <xf numFmtId="0" fontId="29" fillId="4" borderId="0" xfId="2" applyNumberFormat="1" applyFont="1" applyAlignment="1" applyProtection="1">
      <alignment horizontal="left"/>
      <protection locked="0" hidden="1"/>
    </xf>
    <xf numFmtId="0" fontId="7" fillId="4" borderId="4" xfId="2" applyNumberFormat="1" applyBorder="1" applyAlignment="1" applyProtection="1">
      <alignment horizontal="left"/>
      <protection locked="0" hidden="1"/>
    </xf>
    <xf numFmtId="0" fontId="14" fillId="2" borderId="0" xfId="0" applyFont="1" applyFill="1" applyProtection="1">
      <protection locked="0" hidden="1"/>
    </xf>
    <xf numFmtId="0" fontId="13" fillId="2" borderId="0" xfId="0" applyFont="1" applyFill="1" applyProtection="1">
      <protection locked="0" hidden="1"/>
    </xf>
    <xf numFmtId="0" fontId="14" fillId="2" borderId="4" xfId="0" applyFont="1" applyFill="1" applyBorder="1" applyProtection="1">
      <protection locked="0" hidden="1"/>
    </xf>
    <xf numFmtId="0" fontId="14" fillId="0" borderId="3" xfId="0" applyFont="1" applyBorder="1" applyProtection="1">
      <protection locked="0" hidden="1"/>
    </xf>
    <xf numFmtId="0" fontId="13" fillId="2" borderId="8" xfId="0" applyFont="1" applyFill="1" applyBorder="1" applyAlignment="1" applyProtection="1">
      <alignment horizontal="center" vertical="center"/>
      <protection locked="0" hidden="1"/>
    </xf>
    <xf numFmtId="0" fontId="14" fillId="2" borderId="8" xfId="0" applyFont="1" applyFill="1" applyBorder="1" applyAlignment="1" applyProtection="1">
      <alignment horizontal="center"/>
      <protection locked="0" hidden="1"/>
    </xf>
    <xf numFmtId="0" fontId="14" fillId="2" borderId="8" xfId="0" applyFont="1" applyFill="1" applyBorder="1" applyProtection="1">
      <protection locked="0" hidden="1"/>
    </xf>
    <xf numFmtId="0" fontId="14" fillId="2" borderId="9" xfId="0" applyFont="1" applyFill="1" applyBorder="1" applyAlignment="1" applyProtection="1">
      <alignment horizontal="center" vertical="center"/>
      <protection locked="0" hidden="1"/>
    </xf>
    <xf numFmtId="0" fontId="14" fillId="2" borderId="7" xfId="0" applyFont="1" applyFill="1" applyBorder="1" applyProtection="1">
      <protection locked="0" hidden="1"/>
    </xf>
    <xf numFmtId="0" fontId="14" fillId="2" borderId="7" xfId="0" applyFont="1" applyFill="1" applyBorder="1" applyAlignment="1" applyProtection="1">
      <alignment horizontal="center"/>
      <protection locked="0" hidden="1"/>
    </xf>
    <xf numFmtId="168" fontId="15" fillId="3" borderId="17" xfId="1" applyNumberFormat="1" applyFont="1" applyBorder="1" applyAlignment="1" applyProtection="1">
      <alignment horizontal="center"/>
      <protection locked="0" hidden="1"/>
    </xf>
    <xf numFmtId="6" fontId="14" fillId="2" borderId="9" xfId="0" applyNumberFormat="1" applyFont="1" applyFill="1" applyBorder="1" applyAlignment="1" applyProtection="1">
      <alignment horizontal="center"/>
      <protection locked="0" hidden="1"/>
    </xf>
    <xf numFmtId="166" fontId="14" fillId="2" borderId="0" xfId="0" applyNumberFormat="1" applyFont="1" applyFill="1" applyProtection="1">
      <protection locked="0" hidden="1"/>
    </xf>
    <xf numFmtId="0" fontId="14" fillId="2" borderId="0" xfId="0" applyFont="1" applyFill="1" applyAlignment="1" applyProtection="1">
      <alignment horizontal="center"/>
      <protection locked="0" hidden="1"/>
    </xf>
    <xf numFmtId="169" fontId="14" fillId="2" borderId="3" xfId="0" quotePrefix="1" applyNumberFormat="1" applyFont="1" applyFill="1" applyBorder="1" applyAlignment="1" applyProtection="1">
      <alignment horizontal="left"/>
      <protection locked="0" hidden="1"/>
    </xf>
    <xf numFmtId="0" fontId="13" fillId="2" borderId="8" xfId="0" applyFont="1" applyFill="1" applyBorder="1" applyAlignment="1" applyProtection="1">
      <alignment horizontal="center"/>
      <protection locked="0" hidden="1"/>
    </xf>
    <xf numFmtId="14" fontId="14" fillId="2" borderId="3" xfId="0" applyNumberFormat="1" applyFont="1" applyFill="1" applyBorder="1" applyAlignment="1" applyProtection="1">
      <alignment horizontal="left"/>
      <protection locked="0" hidden="1"/>
    </xf>
    <xf numFmtId="0" fontId="14" fillId="2" borderId="9" xfId="0" applyFont="1" applyFill="1" applyBorder="1" applyAlignment="1" applyProtection="1">
      <alignment horizontal="center"/>
      <protection locked="0" hidden="1"/>
    </xf>
    <xf numFmtId="0" fontId="14" fillId="2" borderId="11" xfId="0" applyFont="1" applyFill="1" applyBorder="1" applyProtection="1">
      <protection locked="0" hidden="1"/>
    </xf>
    <xf numFmtId="0" fontId="13" fillId="2" borderId="1" xfId="0" applyFont="1" applyFill="1" applyBorder="1" applyProtection="1">
      <protection locked="0" hidden="1"/>
    </xf>
    <xf numFmtId="0" fontId="14" fillId="2" borderId="14" xfId="0" applyFont="1" applyFill="1" applyBorder="1" applyProtection="1">
      <protection locked="0" hidden="1"/>
    </xf>
    <xf numFmtId="0" fontId="14" fillId="2" borderId="2" xfId="0" applyFont="1" applyFill="1" applyBorder="1" applyProtection="1">
      <protection locked="0" hidden="1"/>
    </xf>
    <xf numFmtId="0" fontId="14" fillId="2" borderId="1" xfId="0" applyFont="1" applyFill="1" applyBorder="1" applyProtection="1">
      <protection locked="0" hidden="1"/>
    </xf>
    <xf numFmtId="0" fontId="14" fillId="2" borderId="10" xfId="0" applyFont="1" applyFill="1" applyBorder="1" applyAlignment="1" applyProtection="1">
      <alignment horizontal="center"/>
      <protection locked="0" hidden="1"/>
    </xf>
    <xf numFmtId="166" fontId="14" fillId="2" borderId="2" xfId="0" applyNumberFormat="1" applyFont="1" applyFill="1" applyBorder="1" applyProtection="1">
      <protection locked="0" hidden="1"/>
    </xf>
    <xf numFmtId="166" fontId="16" fillId="3" borderId="17" xfId="1" applyNumberFormat="1" applyFont="1" applyBorder="1" applyAlignment="1" applyProtection="1">
      <alignment horizontal="center"/>
      <protection locked="0" hidden="1"/>
    </xf>
    <xf numFmtId="6" fontId="14" fillId="2" borderId="17" xfId="0" applyNumberFormat="1" applyFont="1" applyFill="1" applyBorder="1" applyAlignment="1" applyProtection="1">
      <alignment horizontal="center"/>
      <protection locked="0" hidden="1"/>
    </xf>
    <xf numFmtId="10" fontId="14" fillId="2" borderId="17" xfId="0" applyNumberFormat="1" applyFont="1" applyFill="1" applyBorder="1" applyAlignment="1" applyProtection="1">
      <alignment horizontal="center"/>
      <protection locked="0" hidden="1"/>
    </xf>
    <xf numFmtId="166" fontId="20" fillId="2" borderId="0" xfId="0" applyNumberFormat="1" applyFont="1" applyFill="1" applyAlignment="1" applyProtection="1">
      <alignment horizontal="right"/>
      <protection locked="0" hidden="1"/>
    </xf>
    <xf numFmtId="6" fontId="20" fillId="2" borderId="0" xfId="0" applyNumberFormat="1" applyFont="1" applyFill="1" applyAlignment="1" applyProtection="1">
      <alignment horizontal="left" indent="11"/>
      <protection locked="0" hidden="1"/>
    </xf>
    <xf numFmtId="0" fontId="20" fillId="2" borderId="0" xfId="0" applyFont="1" applyFill="1" applyProtection="1">
      <protection locked="0" hidden="1"/>
    </xf>
    <xf numFmtId="6" fontId="15" fillId="3" borderId="7" xfId="1" applyNumberFormat="1" applyFont="1" applyBorder="1" applyAlignment="1" applyProtection="1">
      <alignment horizontal="center"/>
      <protection locked="0" hidden="1"/>
    </xf>
    <xf numFmtId="168" fontId="15" fillId="8" borderId="17" xfId="0" applyNumberFormat="1" applyFont="1" applyFill="1" applyBorder="1" applyAlignment="1" applyProtection="1">
      <alignment horizontal="center"/>
      <protection locked="0" hidden="1"/>
    </xf>
    <xf numFmtId="6" fontId="21" fillId="2" borderId="0" xfId="0" applyNumberFormat="1" applyFont="1" applyFill="1" applyAlignment="1" applyProtection="1">
      <alignment horizontal="right" vertical="top"/>
      <protection locked="0" hidden="1"/>
    </xf>
    <xf numFmtId="6" fontId="21" fillId="2" borderId="0" xfId="0" applyNumberFormat="1" applyFont="1" applyFill="1" applyAlignment="1" applyProtection="1">
      <alignment horizontal="left" vertical="top" indent="11"/>
      <protection locked="0" hidden="1"/>
    </xf>
    <xf numFmtId="6" fontId="21" fillId="2" borderId="0" xfId="0" applyNumberFormat="1" applyFont="1" applyFill="1" applyAlignment="1" applyProtection="1">
      <alignment horizontal="left" indent="11"/>
      <protection locked="0" hidden="1"/>
    </xf>
    <xf numFmtId="6" fontId="15" fillId="3" borderId="9" xfId="1" applyNumberFormat="1" applyFont="1" applyBorder="1" applyAlignment="1" applyProtection="1">
      <alignment horizontal="center"/>
      <protection locked="0" hidden="1"/>
    </xf>
    <xf numFmtId="6" fontId="17" fillId="2" borderId="2" xfId="0" applyNumberFormat="1" applyFont="1" applyFill="1" applyBorder="1" applyAlignment="1" applyProtection="1">
      <alignment horizontal="left"/>
      <protection locked="0" hidden="1"/>
    </xf>
    <xf numFmtId="0" fontId="14" fillId="2" borderId="0" xfId="0" applyFont="1" applyFill="1" applyAlignment="1" applyProtection="1">
      <alignment horizontal="left" indent="4"/>
      <protection locked="0" hidden="1"/>
    </xf>
    <xf numFmtId="0" fontId="14" fillId="2" borderId="0" xfId="0" applyFont="1" applyFill="1" applyAlignment="1" applyProtection="1">
      <alignment horizontal="left" indent="5"/>
      <protection locked="0" hidden="1"/>
    </xf>
    <xf numFmtId="0" fontId="22" fillId="2" borderId="8" xfId="0" applyFont="1" applyFill="1" applyBorder="1" applyAlignment="1" applyProtection="1">
      <alignment horizontal="center"/>
      <protection locked="0" hidden="1"/>
    </xf>
    <xf numFmtId="0" fontId="16" fillId="2" borderId="8" xfId="0" applyFont="1" applyFill="1" applyBorder="1" applyAlignment="1" applyProtection="1">
      <alignment horizontal="center"/>
      <protection locked="0" hidden="1"/>
    </xf>
    <xf numFmtId="0" fontId="14" fillId="2" borderId="9" xfId="0" applyFont="1" applyFill="1" applyBorder="1" applyProtection="1">
      <protection locked="0" hidden="1"/>
    </xf>
    <xf numFmtId="6" fontId="14" fillId="2" borderId="0" xfId="0" applyNumberFormat="1" applyFont="1" applyFill="1" applyProtection="1">
      <protection locked="0" hidden="1"/>
    </xf>
    <xf numFmtId="168" fontId="16" fillId="3" borderId="17" xfId="1" applyNumberFormat="1" applyFont="1" applyBorder="1" applyAlignment="1" applyProtection="1">
      <alignment horizontal="center"/>
      <protection locked="0" hidden="1"/>
    </xf>
    <xf numFmtId="0" fontId="16" fillId="3" borderId="17" xfId="1" applyFont="1" applyBorder="1" applyAlignment="1" applyProtection="1">
      <alignment horizontal="center"/>
      <protection locked="0" hidden="1"/>
    </xf>
    <xf numFmtId="0" fontId="14" fillId="2" borderId="13" xfId="0" applyFont="1" applyFill="1" applyBorder="1" applyAlignment="1" applyProtection="1">
      <alignment horizontal="center"/>
      <protection locked="0" hidden="1"/>
    </xf>
    <xf numFmtId="0" fontId="14" fillId="2" borderId="14" xfId="0" applyFont="1" applyFill="1" applyBorder="1" applyAlignment="1" applyProtection="1">
      <alignment horizontal="center"/>
      <protection locked="0" hidden="1"/>
    </xf>
    <xf numFmtId="0" fontId="14" fillId="2" borderId="15" xfId="0" applyFont="1" applyFill="1" applyBorder="1" applyAlignment="1" applyProtection="1">
      <alignment horizontal="center"/>
      <protection locked="0" hidden="1"/>
    </xf>
    <xf numFmtId="0" fontId="14" fillId="2" borderId="5" xfId="0" applyFont="1" applyFill="1" applyBorder="1" applyAlignment="1" applyProtection="1">
      <alignment horizontal="center"/>
      <protection locked="0" hidden="1"/>
    </xf>
    <xf numFmtId="0" fontId="14" fillId="2" borderId="4" xfId="0" applyFont="1" applyFill="1" applyBorder="1" applyAlignment="1" applyProtection="1">
      <alignment horizontal="center"/>
      <protection locked="0" hidden="1"/>
    </xf>
    <xf numFmtId="6" fontId="13" fillId="2" borderId="18" xfId="1" applyNumberFormat="1" applyFont="1" applyFill="1" applyBorder="1" applyAlignment="1" applyProtection="1">
      <alignment horizontal="center"/>
      <protection locked="0" hidden="1"/>
    </xf>
    <xf numFmtId="6" fontId="14" fillId="2" borderId="18" xfId="1" applyNumberFormat="1" applyFont="1" applyFill="1" applyBorder="1" applyAlignment="1" applyProtection="1">
      <alignment horizontal="center"/>
      <protection locked="0" hidden="1"/>
    </xf>
    <xf numFmtId="0" fontId="14" fillId="2" borderId="19" xfId="0" applyFont="1" applyFill="1" applyBorder="1" applyAlignment="1" applyProtection="1">
      <alignment horizontal="center"/>
      <protection locked="0" hidden="1"/>
    </xf>
    <xf numFmtId="6" fontId="17" fillId="3" borderId="20" xfId="1" applyNumberFormat="1" applyFont="1" applyBorder="1" applyAlignment="1" applyProtection="1">
      <alignment horizontal="center"/>
      <protection locked="0" hidden="1"/>
    </xf>
    <xf numFmtId="0" fontId="14" fillId="2" borderId="8" xfId="0" applyFont="1" applyFill="1" applyBorder="1" applyAlignment="1" applyProtection="1">
      <alignment horizontal="left"/>
      <protection locked="0" hidden="1"/>
    </xf>
    <xf numFmtId="0" fontId="14" fillId="2" borderId="0" xfId="0" applyFont="1" applyFill="1" applyAlignment="1" applyProtection="1">
      <alignment horizontal="left" indent="11"/>
      <protection locked="0" hidden="1"/>
    </xf>
    <xf numFmtId="0" fontId="13" fillId="2" borderId="0" xfId="0" applyFont="1" applyFill="1" applyAlignment="1" applyProtection="1">
      <alignment horizontal="left" indent="15"/>
      <protection locked="0" hidden="1"/>
    </xf>
    <xf numFmtId="0" fontId="13" fillId="2" borderId="0" xfId="0" applyFont="1" applyFill="1" applyAlignment="1" applyProtection="1">
      <alignment horizontal="left"/>
      <protection locked="0" hidden="1"/>
    </xf>
    <xf numFmtId="0" fontId="13" fillId="2" borderId="0" xfId="0" applyFont="1" applyFill="1" applyAlignment="1" applyProtection="1">
      <alignment horizontal="left" indent="4"/>
      <protection locked="0" hidden="1"/>
    </xf>
    <xf numFmtId="0" fontId="13" fillId="2" borderId="4" xfId="0" applyFont="1" applyFill="1" applyBorder="1" applyAlignment="1" applyProtection="1">
      <alignment horizontal="left" indent="4"/>
      <protection locked="0" hidden="1"/>
    </xf>
    <xf numFmtId="6" fontId="15" fillId="8" borderId="17" xfId="0" applyNumberFormat="1" applyFont="1" applyFill="1" applyBorder="1" applyAlignment="1" applyProtection="1">
      <alignment horizontal="center"/>
      <protection locked="0" hidden="1"/>
    </xf>
    <xf numFmtId="0" fontId="14" fillId="2" borderId="0" xfId="0" applyFont="1" applyFill="1" applyAlignment="1" applyProtection="1">
      <alignment horizontal="left" indent="16"/>
      <protection locked="0" hidden="1"/>
    </xf>
    <xf numFmtId="0" fontId="14" fillId="2" borderId="0" xfId="0" applyFont="1" applyFill="1" applyAlignment="1" applyProtection="1">
      <alignment horizontal="left" indent="1"/>
      <protection locked="0" hidden="1"/>
    </xf>
    <xf numFmtId="0" fontId="14" fillId="2" borderId="4" xfId="0" applyFont="1" applyFill="1" applyBorder="1" applyAlignment="1" applyProtection="1">
      <alignment horizontal="left" indent="5"/>
      <protection locked="0" hidden="1"/>
    </xf>
    <xf numFmtId="0" fontId="14" fillId="2" borderId="21" xfId="0" applyFont="1" applyFill="1" applyBorder="1" applyAlignment="1" applyProtection="1">
      <alignment horizontal="center"/>
      <protection locked="0" hidden="1"/>
    </xf>
    <xf numFmtId="6" fontId="14" fillId="2" borderId="0" xfId="0" applyNumberFormat="1" applyFont="1" applyFill="1" applyAlignment="1" applyProtection="1">
      <alignment horizontal="left" indent="3"/>
      <protection locked="0" hidden="1"/>
    </xf>
    <xf numFmtId="6" fontId="17" fillId="3" borderId="21" xfId="1" applyNumberFormat="1" applyFont="1" applyBorder="1" applyAlignment="1" applyProtection="1">
      <alignment horizontal="center"/>
      <protection locked="0" hidden="1"/>
    </xf>
    <xf numFmtId="0" fontId="14" fillId="2" borderId="18" xfId="0" applyFont="1" applyFill="1" applyBorder="1" applyAlignment="1" applyProtection="1">
      <alignment horizontal="center"/>
      <protection locked="0" hidden="1"/>
    </xf>
    <xf numFmtId="0" fontId="13" fillId="2" borderId="0" xfId="0" applyFont="1" applyFill="1" applyAlignment="1" applyProtection="1">
      <alignment horizontal="left" indent="16"/>
      <protection locked="0" hidden="1"/>
    </xf>
    <xf numFmtId="0" fontId="13" fillId="2" borderId="0" xfId="0" applyFont="1" applyFill="1" applyAlignment="1" applyProtection="1">
      <alignment horizontal="left" indent="2"/>
      <protection locked="0" hidden="1"/>
    </xf>
    <xf numFmtId="0" fontId="13" fillId="2" borderId="0" xfId="0" applyFont="1" applyFill="1" applyAlignment="1" applyProtection="1">
      <alignment horizontal="left" indent="5"/>
      <protection locked="0" hidden="1"/>
    </xf>
    <xf numFmtId="0" fontId="13" fillId="2" borderId="4" xfId="0" applyFont="1" applyFill="1" applyBorder="1" applyAlignment="1" applyProtection="1">
      <alignment horizontal="left" indent="5"/>
      <protection locked="0" hidden="1"/>
    </xf>
    <xf numFmtId="0" fontId="14" fillId="2" borderId="23" xfId="0" applyFont="1" applyFill="1" applyBorder="1" applyAlignment="1" applyProtection="1">
      <alignment horizontal="center"/>
      <protection locked="0" hidden="1"/>
    </xf>
    <xf numFmtId="6" fontId="17" fillId="3" borderId="22" xfId="1" applyNumberFormat="1" applyFont="1" applyBorder="1" applyAlignment="1" applyProtection="1">
      <alignment horizontal="center"/>
      <protection locked="0" hidden="1"/>
    </xf>
    <xf numFmtId="6" fontId="15" fillId="2" borderId="0" xfId="1" applyNumberFormat="1" applyFont="1" applyFill="1" applyBorder="1" applyAlignment="1" applyProtection="1">
      <alignment horizontal="center"/>
      <protection locked="0" hidden="1"/>
    </xf>
    <xf numFmtId="3" fontId="14" fillId="2" borderId="0" xfId="0" applyNumberFormat="1" applyFont="1" applyFill="1" applyProtection="1">
      <protection locked="0" hidden="1"/>
    </xf>
    <xf numFmtId="0" fontId="14" fillId="2" borderId="5" xfId="0" applyFont="1" applyFill="1" applyBorder="1" applyProtection="1">
      <protection locked="0" hidden="1"/>
    </xf>
    <xf numFmtId="0" fontId="14" fillId="2" borderId="6" xfId="0" applyFont="1" applyFill="1" applyBorder="1" applyProtection="1">
      <protection locked="0" hidden="1"/>
    </xf>
    <xf numFmtId="6" fontId="0" fillId="2" borderId="3" xfId="0" applyNumberFormat="1" applyFill="1" applyBorder="1" applyProtection="1">
      <protection locked="0" hidden="1"/>
    </xf>
    <xf numFmtId="6" fontId="0" fillId="2" borderId="0" xfId="0" applyNumberFormat="1" applyFill="1" applyProtection="1">
      <protection locked="0" hidden="1"/>
    </xf>
    <xf numFmtId="6" fontId="0" fillId="2" borderId="4" xfId="0" applyNumberFormat="1" applyFill="1" applyBorder="1" applyProtection="1">
      <protection locked="0" hidden="1"/>
    </xf>
    <xf numFmtId="6" fontId="30" fillId="4" borderId="1" xfId="9" applyBorder="1" applyProtection="1">
      <protection locked="0" hidden="1"/>
    </xf>
    <xf numFmtId="6" fontId="30" fillId="4" borderId="2" xfId="9" applyBorder="1" applyProtection="1">
      <protection locked="0" hidden="1"/>
    </xf>
    <xf numFmtId="6" fontId="30" fillId="2" borderId="0" xfId="9" applyFill="1" applyProtection="1">
      <protection locked="0" hidden="1"/>
    </xf>
    <xf numFmtId="0" fontId="25" fillId="14" borderId="3" xfId="7" applyProtection="1">
      <protection locked="0" hidden="1"/>
    </xf>
    <xf numFmtId="6" fontId="0" fillId="2" borderId="7" xfId="0" applyNumberFormat="1" applyFill="1" applyBorder="1" applyProtection="1">
      <protection locked="0" hidden="1"/>
    </xf>
    <xf numFmtId="6" fontId="5" fillId="2" borderId="13" xfId="0" applyNumberFormat="1" applyFont="1" applyFill="1" applyBorder="1" applyProtection="1">
      <protection locked="0" hidden="1"/>
    </xf>
    <xf numFmtId="6" fontId="9" fillId="2" borderId="15" xfId="0" applyNumberFormat="1" applyFont="1" applyFill="1" applyBorder="1" applyProtection="1">
      <protection locked="0" hidden="1"/>
    </xf>
    <xf numFmtId="6" fontId="5" fillId="2" borderId="5" xfId="0" applyNumberFormat="1" applyFont="1" applyFill="1" applyBorder="1" applyProtection="1">
      <protection locked="0" hidden="1"/>
    </xf>
    <xf numFmtId="6" fontId="9" fillId="2" borderId="6" xfId="0" applyNumberFormat="1" applyFont="1" applyFill="1" applyBorder="1" applyProtection="1">
      <protection locked="0" hidden="1"/>
    </xf>
    <xf numFmtId="0" fontId="14" fillId="12" borderId="1" xfId="11" applyFont="1" applyBorder="1" applyProtection="1">
      <protection locked="0" hidden="1"/>
    </xf>
    <xf numFmtId="0" fontId="31" fillId="13" borderId="2" xfId="8" applyBorder="1" applyAlignment="1" applyProtection="1">
      <alignment horizontal="right"/>
      <protection locked="0" hidden="1"/>
    </xf>
    <xf numFmtId="6" fontId="0" fillId="2" borderId="0" xfId="0" applyNumberFormat="1" applyFill="1" applyAlignment="1" applyProtection="1">
      <alignment horizontal="right"/>
      <protection locked="0" hidden="1"/>
    </xf>
    <xf numFmtId="0" fontId="3" fillId="12" borderId="1" xfId="11" applyBorder="1" applyProtection="1">
      <protection locked="0" hidden="1"/>
    </xf>
    <xf numFmtId="0" fontId="31" fillId="13" borderId="10" xfId="8" applyBorder="1" applyAlignment="1" applyProtection="1">
      <alignment horizontal="right"/>
      <protection locked="0" hidden="1"/>
    </xf>
    <xf numFmtId="6" fontId="6" fillId="3" borderId="7" xfId="1" applyNumberFormat="1" applyBorder="1" applyProtection="1">
      <protection locked="0" hidden="1"/>
    </xf>
    <xf numFmtId="166" fontId="5" fillId="0" borderId="1" xfId="0" applyNumberFormat="1" applyFont="1" applyBorder="1" applyProtection="1">
      <protection locked="0" hidden="1"/>
    </xf>
    <xf numFmtId="166" fontId="0" fillId="2" borderId="10" xfId="0" applyNumberFormat="1" applyFill="1" applyBorder="1" applyProtection="1">
      <protection locked="0" hidden="1"/>
    </xf>
    <xf numFmtId="6" fontId="8" fillId="7" borderId="34" xfId="0" applyNumberFormat="1" applyFont="1" applyFill="1" applyBorder="1" applyProtection="1">
      <protection locked="0" hidden="1"/>
    </xf>
    <xf numFmtId="0" fontId="25" fillId="14" borderId="5" xfId="7" applyBorder="1" applyProtection="1">
      <protection locked="0" hidden="1"/>
    </xf>
    <xf numFmtId="6" fontId="0" fillId="2" borderId="9" xfId="0" applyNumberFormat="1" applyFill="1" applyBorder="1" applyProtection="1">
      <protection locked="0" hidden="1"/>
    </xf>
    <xf numFmtId="6" fontId="5" fillId="2" borderId="1" xfId="0" applyNumberFormat="1" applyFont="1" applyFill="1" applyBorder="1" applyProtection="1">
      <protection locked="0" hidden="1"/>
    </xf>
    <xf numFmtId="6" fontId="0" fillId="2" borderId="10" xfId="0" applyNumberFormat="1" applyFill="1" applyBorder="1" applyProtection="1">
      <protection locked="0" hidden="1"/>
    </xf>
    <xf numFmtId="6" fontId="8" fillId="7" borderId="39" xfId="0" applyNumberFormat="1" applyFont="1" applyFill="1" applyBorder="1" applyProtection="1">
      <protection locked="0" hidden="1"/>
    </xf>
    <xf numFmtId="6" fontId="8" fillId="2" borderId="40" xfId="3" applyNumberFormat="1" applyFill="1" applyBorder="1" applyProtection="1">
      <protection locked="0" hidden="1"/>
    </xf>
    <xf numFmtId="6" fontId="8" fillId="2" borderId="16" xfId="3" applyNumberFormat="1" applyFill="1" applyBorder="1" applyProtection="1">
      <protection locked="0" hidden="1"/>
    </xf>
    <xf numFmtId="0" fontId="25" fillId="14" borderId="9" xfId="7" applyBorder="1" applyProtection="1">
      <protection locked="0" hidden="1"/>
    </xf>
    <xf numFmtId="6" fontId="0" fillId="2" borderId="9" xfId="0" applyNumberFormat="1" applyFill="1" applyBorder="1" applyAlignment="1" applyProtection="1">
      <alignment horizontal="center"/>
      <protection locked="0" hidden="1"/>
    </xf>
    <xf numFmtId="6" fontId="6" fillId="3" borderId="7" xfId="1" applyNumberFormat="1" applyBorder="1" applyAlignment="1" applyProtection="1">
      <alignment horizontal="center"/>
      <protection locked="0" hidden="1"/>
    </xf>
    <xf numFmtId="0" fontId="2" fillId="15" borderId="13" xfId="12" applyFont="1" applyBorder="1" applyProtection="1">
      <protection locked="0" hidden="1"/>
    </xf>
    <xf numFmtId="0" fontId="25" fillId="15" borderId="14" xfId="12" applyBorder="1" applyProtection="1">
      <protection locked="0" hidden="1"/>
    </xf>
    <xf numFmtId="6" fontId="40" fillId="2" borderId="15" xfId="3" applyNumberFormat="1" applyFont="1" applyFill="1" applyBorder="1" applyProtection="1">
      <protection locked="0" hidden="1"/>
    </xf>
    <xf numFmtId="9" fontId="0" fillId="2" borderId="0" xfId="0" applyNumberFormat="1" applyFill="1" applyAlignment="1" applyProtection="1">
      <alignment horizontal="right"/>
      <protection locked="0" hidden="1"/>
    </xf>
    <xf numFmtId="6" fontId="0" fillId="2" borderId="0" xfId="0" applyNumberFormat="1" applyFill="1" applyAlignment="1" applyProtection="1">
      <alignment horizontal="left"/>
      <protection locked="0" hidden="1"/>
    </xf>
    <xf numFmtId="0" fontId="25" fillId="14" borderId="17" xfId="7" applyBorder="1" applyProtection="1">
      <protection locked="0" hidden="1"/>
    </xf>
    <xf numFmtId="6" fontId="0" fillId="2" borderId="17" xfId="0" applyNumberFormat="1" applyFill="1" applyBorder="1" applyAlignment="1" applyProtection="1">
      <alignment horizontal="center"/>
      <protection locked="0" hidden="1"/>
    </xf>
    <xf numFmtId="0" fontId="2" fillId="15" borderId="5" xfId="12" applyFont="1" applyBorder="1" applyProtection="1">
      <protection locked="0" hidden="1"/>
    </xf>
    <xf numFmtId="0" fontId="25" fillId="15" borderId="11" xfId="12" applyBorder="1" applyProtection="1">
      <protection locked="0" hidden="1"/>
    </xf>
    <xf numFmtId="6" fontId="40" fillId="2" borderId="6" xfId="3" applyNumberFormat="1" applyFont="1" applyFill="1" applyBorder="1" applyProtection="1">
      <protection locked="0" hidden="1"/>
    </xf>
    <xf numFmtId="9" fontId="0" fillId="2" borderId="4" xfId="0" applyNumberFormat="1" applyFill="1" applyBorder="1" applyProtection="1">
      <protection locked="0" hidden="1"/>
    </xf>
    <xf numFmtId="0" fontId="36" fillId="16" borderId="5" xfId="18" applyFont="1" applyProtection="1">
      <protection locked="0" hidden="1"/>
    </xf>
    <xf numFmtId="6" fontId="13" fillId="2" borderId="17" xfId="0" applyNumberFormat="1" applyFont="1" applyFill="1" applyBorder="1" applyProtection="1">
      <protection locked="0" hidden="1"/>
    </xf>
    <xf numFmtId="12" fontId="0" fillId="2" borderId="0" xfId="0" quotePrefix="1" applyNumberFormat="1" applyFill="1" applyProtection="1">
      <protection locked="0" hidden="1"/>
    </xf>
    <xf numFmtId="6" fontId="0" fillId="2" borderId="0" xfId="0" applyNumberFormat="1" applyFill="1" applyAlignment="1" applyProtection="1">
      <alignment horizontal="left" indent="13"/>
      <protection locked="0" hidden="1"/>
    </xf>
    <xf numFmtId="6" fontId="0" fillId="2" borderId="0" xfId="0" applyNumberFormat="1" applyFill="1" applyAlignment="1" applyProtection="1">
      <alignment horizontal="left" indent="22"/>
      <protection locked="0" hidden="1"/>
    </xf>
    <xf numFmtId="6" fontId="6" fillId="3" borderId="9" xfId="1" applyNumberFormat="1" applyBorder="1" applyAlignment="1" applyProtection="1">
      <alignment horizontal="center"/>
      <protection locked="0" hidden="1"/>
    </xf>
    <xf numFmtId="6" fontId="0" fillId="2" borderId="0" xfId="0" applyNumberFormat="1" applyFill="1" applyAlignment="1" applyProtection="1">
      <alignment horizontal="left" indent="6"/>
      <protection locked="0" hidden="1"/>
    </xf>
    <xf numFmtId="6" fontId="0" fillId="2" borderId="0" xfId="0" applyNumberFormat="1" applyFill="1" applyAlignment="1" applyProtection="1">
      <alignment horizontal="left" indent="12"/>
      <protection locked="0" hidden="1"/>
    </xf>
    <xf numFmtId="6" fontId="5" fillId="2" borderId="3" xfId="0" applyNumberFormat="1" applyFont="1" applyFill="1" applyBorder="1" applyProtection="1">
      <protection locked="0" hidden="1"/>
    </xf>
    <xf numFmtId="6" fontId="5" fillId="2" borderId="0" xfId="0" applyNumberFormat="1" applyFont="1" applyFill="1" applyProtection="1">
      <protection locked="0" hidden="1"/>
    </xf>
    <xf numFmtId="6" fontId="0" fillId="2" borderId="0" xfId="0" applyNumberFormat="1" applyFill="1" applyAlignment="1" applyProtection="1">
      <alignment horizontal="left" indent="4"/>
      <protection locked="0" hidden="1"/>
    </xf>
    <xf numFmtId="6" fontId="8" fillId="2" borderId="0" xfId="3" applyNumberFormat="1" applyFill="1" applyBorder="1" applyAlignment="1" applyProtection="1">
      <alignment horizontal="left"/>
      <protection locked="0" hidden="1"/>
    </xf>
    <xf numFmtId="6" fontId="8" fillId="2" borderId="4" xfId="3" applyNumberFormat="1" applyFill="1" applyBorder="1" applyAlignment="1" applyProtection="1">
      <alignment horizontal="left"/>
      <protection locked="0" hidden="1"/>
    </xf>
    <xf numFmtId="6" fontId="0" fillId="2" borderId="3" xfId="0" applyNumberFormat="1" applyFill="1" applyBorder="1" applyAlignment="1" applyProtection="1">
      <alignment horizontal="left"/>
      <protection locked="0" hidden="1"/>
    </xf>
    <xf numFmtId="6" fontId="19" fillId="2" borderId="0" xfId="3" applyNumberFormat="1" applyFont="1" applyFill="1" applyBorder="1" applyAlignment="1" applyProtection="1">
      <alignment horizontal="left"/>
      <protection locked="0" hidden="1"/>
    </xf>
    <xf numFmtId="6" fontId="5" fillId="2" borderId="0" xfId="0" applyNumberFormat="1" applyFont="1" applyFill="1" applyAlignment="1" applyProtection="1">
      <alignment horizontal="left"/>
      <protection locked="0" hidden="1"/>
    </xf>
    <xf numFmtId="6" fontId="18" fillId="2" borderId="0" xfId="3" applyNumberFormat="1" applyFont="1" applyFill="1" applyBorder="1" applyAlignment="1" applyProtection="1">
      <alignment horizontal="left" indent="4"/>
      <protection locked="0" hidden="1"/>
    </xf>
    <xf numFmtId="6" fontId="18" fillId="2" borderId="4" xfId="3" applyNumberFormat="1" applyFont="1" applyFill="1" applyBorder="1" applyAlignment="1" applyProtection="1">
      <alignment horizontal="left"/>
      <protection locked="0" hidden="1"/>
    </xf>
    <xf numFmtId="6" fontId="0" fillId="2" borderId="4" xfId="0" applyNumberFormat="1" applyFill="1" applyBorder="1" applyAlignment="1" applyProtection="1">
      <alignment horizontal="right"/>
      <protection locked="0" hidden="1"/>
    </xf>
    <xf numFmtId="6" fontId="0" fillId="2" borderId="5" xfId="0" applyNumberFormat="1" applyFill="1" applyBorder="1" applyProtection="1">
      <protection locked="0" hidden="1"/>
    </xf>
    <xf numFmtId="6" fontId="0" fillId="2" borderId="11" xfId="0" applyNumberFormat="1" applyFill="1" applyBorder="1" applyProtection="1">
      <protection locked="0" hidden="1"/>
    </xf>
    <xf numFmtId="6" fontId="0" fillId="2" borderId="6" xfId="0" applyNumberFormat="1" applyFill="1" applyBorder="1" applyProtection="1">
      <protection locked="0" hidden="1"/>
    </xf>
    <xf numFmtId="6" fontId="0" fillId="2" borderId="3" xfId="0" applyNumberFormat="1" applyFill="1" applyBorder="1" applyAlignment="1" applyProtection="1">
      <alignment wrapText="1"/>
      <protection locked="0" hidden="1"/>
    </xf>
    <xf numFmtId="0" fontId="3" fillId="12" borderId="0" xfId="11" applyBorder="1" applyProtection="1">
      <protection locked="0" hidden="1"/>
    </xf>
    <xf numFmtId="6" fontId="30" fillId="4" borderId="3" xfId="2" applyNumberFormat="1" applyFont="1" applyBorder="1" applyProtection="1">
      <protection locked="0" hidden="1"/>
    </xf>
    <xf numFmtId="6" fontId="7" fillId="4" borderId="0" xfId="2" applyNumberFormat="1" applyBorder="1" applyProtection="1">
      <protection locked="0" hidden="1"/>
    </xf>
    <xf numFmtId="6" fontId="7" fillId="4" borderId="4" xfId="2" applyNumberFormat="1" applyBorder="1" applyProtection="1">
      <protection locked="0" hidden="1"/>
    </xf>
    <xf numFmtId="0" fontId="3" fillId="12" borderId="3" xfId="11" applyProtection="1">
      <protection locked="0" hidden="1"/>
    </xf>
    <xf numFmtId="0" fontId="31" fillId="13" borderId="0" xfId="8" applyProtection="1">
      <protection locked="0" hidden="1"/>
    </xf>
    <xf numFmtId="0" fontId="31" fillId="13" borderId="4" xfId="8" applyBorder="1" applyProtection="1">
      <protection locked="0" hidden="1"/>
    </xf>
    <xf numFmtId="0" fontId="0" fillId="14" borderId="3" xfId="0" applyFill="1" applyBorder="1" applyProtection="1">
      <protection locked="0" hidden="1"/>
    </xf>
    <xf numFmtId="6" fontId="0" fillId="0" borderId="30" xfId="0" applyNumberFormat="1" applyBorder="1" applyProtection="1">
      <protection locked="0" hidden="1"/>
    </xf>
    <xf numFmtId="6" fontId="0" fillId="0" borderId="31" xfId="0" applyNumberFormat="1" applyBorder="1" applyProtection="1">
      <protection locked="0" hidden="1"/>
    </xf>
    <xf numFmtId="6" fontId="0" fillId="0" borderId="28" xfId="0" applyNumberFormat="1" applyBorder="1" applyProtection="1">
      <protection locked="0" hidden="1"/>
    </xf>
    <xf numFmtId="0" fontId="0" fillId="15" borderId="1" xfId="0" applyFill="1" applyBorder="1" applyProtection="1">
      <protection locked="0" hidden="1"/>
    </xf>
    <xf numFmtId="6" fontId="0" fillId="0" borderId="33" xfId="0" applyNumberFormat="1" applyBorder="1" applyProtection="1">
      <protection locked="0" hidden="1"/>
    </xf>
    <xf numFmtId="6" fontId="33" fillId="5" borderId="36" xfId="15" applyBorder="1" applyProtection="1">
      <protection locked="0" hidden="1"/>
    </xf>
    <xf numFmtId="0" fontId="5" fillId="15" borderId="5" xfId="0" applyFont="1" applyFill="1" applyBorder="1" applyProtection="1">
      <protection locked="0" hidden="1"/>
    </xf>
    <xf numFmtId="6" fontId="32" fillId="11" borderId="6" xfId="5" applyNumberFormat="1" applyFont="1" applyBorder="1" applyProtection="1">
      <protection locked="0" hidden="1"/>
    </xf>
    <xf numFmtId="0" fontId="0" fillId="0" borderId="0" xfId="0" applyProtection="1">
      <protection locked="0" hidden="1"/>
    </xf>
    <xf numFmtId="0" fontId="0" fillId="0" borderId="4" xfId="0" applyBorder="1" applyProtection="1">
      <protection locked="0" hidden="1"/>
    </xf>
    <xf numFmtId="0" fontId="0" fillId="0" borderId="3" xfId="0" applyBorder="1" applyProtection="1">
      <protection locked="0" hidden="1"/>
    </xf>
    <xf numFmtId="6" fontId="29" fillId="4" borderId="3" xfId="2" applyNumberFormat="1" applyFont="1" applyBorder="1" applyProtection="1">
      <protection locked="0" hidden="1"/>
    </xf>
    <xf numFmtId="6" fontId="25" fillId="0" borderId="30" xfId="10" applyProtection="1">
      <protection locked="0" hidden="1"/>
    </xf>
    <xf numFmtId="6" fontId="25" fillId="0" borderId="31" xfId="10" applyBorder="1" applyProtection="1">
      <protection locked="0" hidden="1"/>
    </xf>
    <xf numFmtId="6" fontId="0" fillId="0" borderId="30" xfId="10" applyFont="1" applyProtection="1">
      <protection locked="0" hidden="1"/>
    </xf>
    <xf numFmtId="0" fontId="25" fillId="15" borderId="1" xfId="12" applyProtection="1">
      <protection locked="0" hidden="1"/>
    </xf>
    <xf numFmtId="6" fontId="25" fillId="0" borderId="33" xfId="13" applyProtection="1">
      <protection locked="0" hidden="1"/>
    </xf>
    <xf numFmtId="0" fontId="5" fillId="15" borderId="5" xfId="14" applyProtection="1">
      <protection locked="0" hidden="1"/>
    </xf>
    <xf numFmtId="6" fontId="33" fillId="5" borderId="34" xfId="6" applyNumberFormat="1" applyFont="1" applyBorder="1" applyProtection="1">
      <protection locked="0" hidden="1"/>
    </xf>
    <xf numFmtId="6" fontId="33" fillId="5" borderId="35" xfId="15" applyBorder="1" applyProtection="1">
      <protection locked="0" hidden="1"/>
    </xf>
    <xf numFmtId="0" fontId="0" fillId="0" borderId="32" xfId="0" applyBorder="1" applyProtection="1">
      <protection locked="0" hidden="1"/>
    </xf>
    <xf numFmtId="6" fontId="33" fillId="5" borderId="34" xfId="15" applyProtection="1">
      <protection locked="0" hidden="1"/>
    </xf>
    <xf numFmtId="0" fontId="27" fillId="0" borderId="0" xfId="0" applyFont="1" applyProtection="1">
      <protection locked="0" hidden="1"/>
    </xf>
    <xf numFmtId="6" fontId="30" fillId="4" borderId="3" xfId="9" applyBorder="1" applyProtection="1">
      <protection locked="0" hidden="1"/>
    </xf>
    <xf numFmtId="6" fontId="30" fillId="4" borderId="0" xfId="9" applyProtection="1">
      <protection locked="0" hidden="1"/>
    </xf>
    <xf numFmtId="6" fontId="30" fillId="4" borderId="4" xfId="9" applyBorder="1" applyProtection="1">
      <protection locked="0" hidden="1"/>
    </xf>
    <xf numFmtId="6" fontId="34" fillId="0" borderId="33" xfId="13" applyFont="1" applyProtection="1">
      <protection locked="0" hidden="1"/>
    </xf>
    <xf numFmtId="6" fontId="34" fillId="0" borderId="37" xfId="17" applyBorder="1" applyProtection="1">
      <protection locked="0" hidden="1"/>
    </xf>
    <xf numFmtId="6" fontId="35" fillId="5" borderId="34" xfId="15" applyFont="1" applyProtection="1">
      <protection locked="0" hidden="1"/>
    </xf>
    <xf numFmtId="6" fontId="25" fillId="0" borderId="38" xfId="10" applyBorder="1" applyProtection="1">
      <protection locked="0" hidden="1"/>
    </xf>
    <xf numFmtId="0" fontId="36" fillId="16" borderId="5" xfId="16" applyFont="1" applyBorder="1" applyProtection="1">
      <protection locked="0" hidden="1"/>
    </xf>
    <xf numFmtId="166" fontId="14" fillId="0" borderId="10" xfId="0" applyNumberFormat="1" applyFont="1" applyBorder="1" applyProtection="1">
      <protection locked="0" hidden="1"/>
    </xf>
    <xf numFmtId="166" fontId="14" fillId="0" borderId="2" xfId="0" applyNumberFormat="1" applyFont="1" applyBorder="1" applyProtection="1">
      <protection locked="0" hidden="1"/>
    </xf>
    <xf numFmtId="0" fontId="9" fillId="2" borderId="3" xfId="0" applyFont="1" applyFill="1" applyBorder="1" applyProtection="1">
      <protection locked="0" hidden="1"/>
    </xf>
    <xf numFmtId="0" fontId="0" fillId="2" borderId="2" xfId="0" applyFill="1" applyBorder="1" applyProtection="1">
      <protection locked="0" hidden="1"/>
    </xf>
    <xf numFmtId="0" fontId="0" fillId="2" borderId="10" xfId="0" applyFill="1" applyBorder="1" applyAlignment="1" applyProtection="1">
      <alignment horizontal="right"/>
      <protection locked="0" hidden="1"/>
    </xf>
    <xf numFmtId="0" fontId="0" fillId="2" borderId="8" xfId="0" applyFill="1" applyBorder="1" applyProtection="1">
      <protection locked="0" hidden="1"/>
    </xf>
    <xf numFmtId="9" fontId="0" fillId="2" borderId="15" xfId="0" applyNumberFormat="1" applyFill="1" applyBorder="1" applyAlignment="1" applyProtection="1">
      <alignment horizontal="left"/>
      <protection locked="0" hidden="1"/>
    </xf>
    <xf numFmtId="9" fontId="0" fillId="2" borderId="15" xfId="0" applyNumberFormat="1" applyFill="1" applyBorder="1" applyProtection="1">
      <protection locked="0" hidden="1"/>
    </xf>
    <xf numFmtId="0" fontId="0" fillId="2" borderId="7" xfId="0" applyFill="1" applyBorder="1" applyProtection="1">
      <protection locked="0" hidden="1"/>
    </xf>
    <xf numFmtId="9" fontId="0" fillId="2" borderId="4" xfId="0" applyNumberFormat="1" applyFill="1" applyBorder="1" applyAlignment="1" applyProtection="1">
      <alignment horizontal="left"/>
      <protection locked="0" hidden="1"/>
    </xf>
    <xf numFmtId="9" fontId="0" fillId="2" borderId="6" xfId="0" applyNumberFormat="1" applyFill="1" applyBorder="1" applyProtection="1">
      <protection locked="0" hidden="1"/>
    </xf>
    <xf numFmtId="0" fontId="0" fillId="2" borderId="9" xfId="0" applyFill="1" applyBorder="1" applyProtection="1">
      <protection locked="0" hidden="1"/>
    </xf>
    <xf numFmtId="9" fontId="0" fillId="2" borderId="6" xfId="0" applyNumberFormat="1" applyFill="1" applyBorder="1" applyAlignment="1" applyProtection="1">
      <alignment horizontal="left"/>
      <protection locked="0" hidden="1"/>
    </xf>
    <xf numFmtId="166" fontId="6" fillId="3" borderId="17" xfId="1" applyNumberFormat="1" applyBorder="1" applyAlignment="1" applyProtection="1">
      <alignment horizontal="left"/>
      <protection locked="0" hidden="1"/>
    </xf>
    <xf numFmtId="0" fontId="5" fillId="2" borderId="0" xfId="0" applyFont="1" applyFill="1" applyAlignment="1" applyProtection="1">
      <alignment horizontal="left"/>
      <protection locked="0" hidden="1"/>
    </xf>
    <xf numFmtId="0" fontId="5" fillId="2" borderId="4" xfId="0" applyFont="1" applyFill="1" applyBorder="1" applyAlignment="1" applyProtection="1">
      <alignment horizontal="left"/>
      <protection locked="0" hidden="1"/>
    </xf>
    <xf numFmtId="165" fontId="0" fillId="2" borderId="17" xfId="0" applyNumberFormat="1" applyFill="1" applyBorder="1" applyProtection="1">
      <protection locked="0" hidden="1"/>
    </xf>
    <xf numFmtId="9" fontId="0" fillId="2" borderId="17" xfId="4" applyFont="1" applyFill="1" applyBorder="1" applyProtection="1">
      <protection locked="0" hidden="1"/>
    </xf>
    <xf numFmtId="166" fontId="0" fillId="2" borderId="17" xfId="0" applyNumberFormat="1" applyFill="1" applyBorder="1" applyProtection="1">
      <protection locked="0" hidden="1"/>
    </xf>
    <xf numFmtId="2" fontId="0" fillId="2" borderId="17" xfId="0" applyNumberFormat="1" applyFill="1" applyBorder="1" applyProtection="1">
      <protection locked="0" hidden="1"/>
    </xf>
    <xf numFmtId="9" fontId="0" fillId="2" borderId="17" xfId="0" applyNumberFormat="1" applyFill="1" applyBorder="1" applyProtection="1">
      <protection locked="0" hidden="1"/>
    </xf>
    <xf numFmtId="3" fontId="0" fillId="0" borderId="0" xfId="0" applyNumberFormat="1" applyProtection="1">
      <protection locked="0" hidden="1"/>
    </xf>
    <xf numFmtId="4" fontId="0" fillId="0" borderId="0" xfId="0" applyNumberFormat="1" applyProtection="1">
      <protection locked="0" hidden="1"/>
    </xf>
    <xf numFmtId="8" fontId="0" fillId="0" borderId="0" xfId="0" applyNumberFormat="1" applyProtection="1">
      <protection locked="0" hidden="1"/>
    </xf>
    <xf numFmtId="10" fontId="0" fillId="0" borderId="0" xfId="0" applyNumberFormat="1" applyProtection="1">
      <protection locked="0" hidden="1"/>
    </xf>
    <xf numFmtId="167" fontId="0" fillId="0" borderId="0" xfId="0" applyNumberFormat="1" applyProtection="1">
      <protection locked="0" hidden="1"/>
    </xf>
    <xf numFmtId="3" fontId="0" fillId="0" borderId="0" xfId="0" applyNumberFormat="1" applyAlignment="1" applyProtection="1">
      <alignment horizontal="center"/>
      <protection locked="0" hidden="1"/>
    </xf>
    <xf numFmtId="4" fontId="0" fillId="0" borderId="0" xfId="0" applyNumberFormat="1" applyAlignment="1" applyProtection="1">
      <alignment horizontal="center"/>
      <protection locked="0" hidden="1"/>
    </xf>
    <xf numFmtId="8" fontId="0" fillId="0" borderId="4" xfId="0" applyNumberFormat="1" applyBorder="1" applyProtection="1">
      <protection locked="0" hidden="1"/>
    </xf>
    <xf numFmtId="0" fontId="0" fillId="0" borderId="24" xfId="0" applyBorder="1" applyProtection="1">
      <protection locked="0" hidden="1"/>
    </xf>
    <xf numFmtId="0" fontId="0" fillId="0" borderId="25" xfId="0" applyBorder="1" applyProtection="1">
      <protection locked="0" hidden="1"/>
    </xf>
    <xf numFmtId="0" fontId="0" fillId="2" borderId="26" xfId="0" applyFill="1" applyBorder="1" applyProtection="1">
      <protection locked="0" hidden="1"/>
    </xf>
    <xf numFmtId="0" fontId="0" fillId="2" borderId="27" xfId="0" applyFill="1" applyBorder="1" applyProtection="1">
      <protection locked="0" hidden="1"/>
    </xf>
    <xf numFmtId="0" fontId="0" fillId="0" borderId="52" xfId="0" applyBorder="1" applyProtection="1">
      <protection locked="0" hidden="1"/>
    </xf>
    <xf numFmtId="0" fontId="0" fillId="2" borderId="51" xfId="0" applyFill="1" applyBorder="1" applyProtection="1">
      <protection locked="0" hidden="1"/>
    </xf>
    <xf numFmtId="0" fontId="0" fillId="2" borderId="53" xfId="0" applyFill="1" applyBorder="1" applyProtection="1">
      <protection locked="0" hidden="1"/>
    </xf>
    <xf numFmtId="0" fontId="0" fillId="2" borderId="54" xfId="0" applyFill="1" applyBorder="1" applyProtection="1">
      <protection locked="0" hidden="1"/>
    </xf>
    <xf numFmtId="0" fontId="45" fillId="2" borderId="0" xfId="0" applyFont="1" applyFill="1" applyProtection="1">
      <protection locked="0" hidden="1"/>
    </xf>
    <xf numFmtId="0" fontId="43" fillId="2" borderId="0" xfId="0" applyFont="1" applyFill="1" applyAlignment="1" applyProtection="1">
      <alignment vertical="top" wrapText="1"/>
      <protection locked="0" hidden="1"/>
    </xf>
    <xf numFmtId="0" fontId="44" fillId="2" borderId="0" xfId="0" applyFont="1" applyFill="1" applyProtection="1">
      <protection locked="0" hidden="1"/>
    </xf>
    <xf numFmtId="0" fontId="1" fillId="2" borderId="0" xfId="0" applyFont="1" applyFill="1" applyProtection="1">
      <protection locked="0" hidden="1"/>
    </xf>
    <xf numFmtId="0" fontId="0" fillId="2" borderId="45" xfId="0" applyFill="1" applyBorder="1" applyProtection="1">
      <protection locked="0" hidden="1"/>
    </xf>
    <xf numFmtId="0" fontId="0" fillId="2" borderId="42" xfId="0" applyFill="1" applyBorder="1" applyProtection="1">
      <protection locked="0" hidden="1"/>
    </xf>
    <xf numFmtId="0" fontId="0" fillId="2" borderId="43" xfId="0" applyFill="1" applyBorder="1" applyProtection="1">
      <protection locked="0" hidden="1"/>
    </xf>
    <xf numFmtId="0" fontId="0" fillId="2" borderId="41" xfId="0" applyFill="1" applyBorder="1" applyProtection="1">
      <protection locked="0" hidden="1"/>
    </xf>
    <xf numFmtId="0" fontId="1" fillId="2" borderId="0" xfId="0" applyFont="1" applyFill="1" applyAlignment="1" applyProtection="1">
      <alignment vertical="top"/>
      <protection locked="0" hidden="1"/>
    </xf>
    <xf numFmtId="0" fontId="0" fillId="2" borderId="44" xfId="0" applyFill="1" applyBorder="1" applyProtection="1">
      <protection locked="0" hidden="1"/>
    </xf>
    <xf numFmtId="0" fontId="0" fillId="2" borderId="28" xfId="0" applyFill="1" applyBorder="1" applyProtection="1">
      <protection locked="0" hidden="1"/>
    </xf>
    <xf numFmtId="0" fontId="43" fillId="2" borderId="0" xfId="0" applyFont="1" applyFill="1" applyAlignment="1" applyProtection="1">
      <alignment vertical="top"/>
      <protection locked="0" hidden="1"/>
    </xf>
    <xf numFmtId="0" fontId="0" fillId="2" borderId="48" xfId="0" applyFill="1" applyBorder="1" applyProtection="1">
      <protection locked="0" hidden="1"/>
    </xf>
    <xf numFmtId="0" fontId="0" fillId="2" borderId="46" xfId="0" applyFill="1" applyBorder="1" applyProtection="1">
      <protection locked="0" hidden="1"/>
    </xf>
    <xf numFmtId="0" fontId="0" fillId="2" borderId="47" xfId="0" applyFill="1" applyBorder="1" applyProtection="1">
      <protection locked="0" hidden="1"/>
    </xf>
    <xf numFmtId="0" fontId="0" fillId="2" borderId="49" xfId="0" applyFill="1" applyBorder="1" applyProtection="1">
      <protection locked="0" hidden="1"/>
    </xf>
    <xf numFmtId="0" fontId="0" fillId="2" borderId="0" xfId="0" applyFill="1" applyAlignment="1" applyProtection="1">
      <alignment horizontal="left"/>
      <protection locked="0" hidden="1"/>
    </xf>
    <xf numFmtId="0" fontId="0" fillId="2" borderId="0" xfId="0" applyFill="1" applyAlignment="1" applyProtection="1">
      <alignment vertical="top"/>
      <protection locked="0" hidden="1"/>
    </xf>
    <xf numFmtId="0" fontId="0" fillId="2" borderId="0" xfId="0" applyFill="1" applyAlignment="1" applyProtection="1">
      <alignment vertical="top" wrapText="1"/>
      <protection locked="0" hidden="1"/>
    </xf>
    <xf numFmtId="0" fontId="48" fillId="2" borderId="0" xfId="0" applyFont="1" applyFill="1" applyProtection="1">
      <protection locked="0" hidden="1"/>
    </xf>
    <xf numFmtId="0" fontId="49" fillId="2" borderId="0" xfId="0" applyFont="1" applyFill="1" applyProtection="1">
      <protection locked="0" hidden="1"/>
    </xf>
    <xf numFmtId="0" fontId="49" fillId="2" borderId="0" xfId="0" applyFont="1" applyFill="1" applyAlignment="1" applyProtection="1">
      <alignment vertical="top"/>
      <protection locked="0" hidden="1"/>
    </xf>
    <xf numFmtId="0" fontId="49" fillId="2" borderId="0" xfId="19" applyProtection="1">
      <protection locked="0" hidden="1"/>
    </xf>
    <xf numFmtId="0" fontId="1" fillId="2" borderId="0" xfId="21" applyProtection="1">
      <alignment vertical="top"/>
      <protection locked="0" hidden="1"/>
    </xf>
    <xf numFmtId="0" fontId="45" fillId="2" borderId="0" xfId="20" applyProtection="1">
      <protection locked="0" hidden="1"/>
    </xf>
    <xf numFmtId="0" fontId="42" fillId="2" borderId="0" xfId="0" applyFont="1" applyFill="1" applyProtection="1">
      <protection locked="0" hidden="1"/>
    </xf>
    <xf numFmtId="0" fontId="42" fillId="2" borderId="0" xfId="22" applyProtection="1">
      <protection locked="0" hidden="1"/>
    </xf>
    <xf numFmtId="0" fontId="42" fillId="2" borderId="0" xfId="22" applyAlignment="1" applyProtection="1">
      <alignment horizontal="left"/>
      <protection locked="0" hidden="1"/>
    </xf>
    <xf numFmtId="0" fontId="14" fillId="2" borderId="13" xfId="0" applyFont="1" applyFill="1" applyBorder="1" applyAlignment="1" applyProtection="1">
      <alignment horizontal="left" vertical="top" wrapText="1"/>
      <protection locked="0" hidden="1"/>
    </xf>
    <xf numFmtId="0" fontId="14" fillId="2" borderId="14" xfId="0" applyFont="1" applyFill="1" applyBorder="1" applyAlignment="1" applyProtection="1">
      <alignment horizontal="left" vertical="top" wrapText="1"/>
      <protection locked="0" hidden="1"/>
    </xf>
    <xf numFmtId="0" fontId="14" fillId="2" borderId="15" xfId="0" applyFont="1" applyFill="1" applyBorder="1" applyAlignment="1" applyProtection="1">
      <alignment horizontal="left" vertical="top" wrapText="1"/>
      <protection locked="0" hidden="1"/>
    </xf>
    <xf numFmtId="0" fontId="14" fillId="2" borderId="3" xfId="0" applyFont="1" applyFill="1" applyBorder="1" applyAlignment="1" applyProtection="1">
      <alignment horizontal="left" vertical="top" wrapText="1"/>
      <protection locked="0" hidden="1"/>
    </xf>
    <xf numFmtId="0" fontId="14" fillId="2" borderId="0" xfId="0" applyFont="1" applyFill="1" applyAlignment="1" applyProtection="1">
      <alignment horizontal="left" vertical="top" wrapText="1"/>
      <protection locked="0" hidden="1"/>
    </xf>
    <xf numFmtId="0" fontId="14" fillId="2" borderId="4" xfId="0" applyFont="1" applyFill="1" applyBorder="1" applyAlignment="1" applyProtection="1">
      <alignment horizontal="left" vertical="top" wrapText="1"/>
      <protection locked="0" hidden="1"/>
    </xf>
    <xf numFmtId="0" fontId="14" fillId="2" borderId="5" xfId="0" applyFont="1" applyFill="1" applyBorder="1" applyAlignment="1" applyProtection="1">
      <alignment horizontal="left" vertical="top" wrapText="1"/>
      <protection locked="0" hidden="1"/>
    </xf>
    <xf numFmtId="0" fontId="14" fillId="2" borderId="11" xfId="0" applyFont="1" applyFill="1" applyBorder="1" applyAlignment="1" applyProtection="1">
      <alignment horizontal="left" vertical="top" wrapText="1"/>
      <protection locked="0" hidden="1"/>
    </xf>
    <xf numFmtId="0" fontId="14" fillId="2" borderId="6" xfId="0" applyFont="1" applyFill="1" applyBorder="1" applyAlignment="1" applyProtection="1">
      <alignment horizontal="left" vertical="top" wrapText="1"/>
      <protection locked="0" hidden="1"/>
    </xf>
    <xf numFmtId="6" fontId="14" fillId="2" borderId="0" xfId="0" applyNumberFormat="1" applyFont="1" applyFill="1" applyAlignment="1" applyProtection="1">
      <alignment horizontal="left" indent="7"/>
      <protection locked="0" hidden="1"/>
    </xf>
    <xf numFmtId="6" fontId="14" fillId="2" borderId="4" xfId="0" applyNumberFormat="1" applyFont="1" applyFill="1" applyBorder="1" applyAlignment="1" applyProtection="1">
      <alignment horizontal="left" indent="7"/>
      <protection locked="0" hidden="1"/>
    </xf>
    <xf numFmtId="6" fontId="39" fillId="4" borderId="13" xfId="2" applyNumberFormat="1" applyFont="1" applyBorder="1" applyAlignment="1" applyProtection="1">
      <alignment horizontal="center" shrinkToFit="1"/>
      <protection locked="0" hidden="1"/>
    </xf>
    <xf numFmtId="6" fontId="39" fillId="4" borderId="14" xfId="2" applyNumberFormat="1" applyFont="1" applyBorder="1" applyAlignment="1" applyProtection="1">
      <alignment horizontal="center" shrinkToFit="1"/>
      <protection locked="0" hidden="1"/>
    </xf>
    <xf numFmtId="6" fontId="39" fillId="4" borderId="15" xfId="2" applyNumberFormat="1" applyFont="1" applyBorder="1" applyAlignment="1" applyProtection="1">
      <alignment horizontal="center" shrinkToFit="1"/>
      <protection locked="0" hidden="1"/>
    </xf>
    <xf numFmtId="6" fontId="39" fillId="4" borderId="3" xfId="2" applyNumberFormat="1" applyFont="1" applyBorder="1" applyAlignment="1" applyProtection="1">
      <alignment horizontal="center"/>
      <protection locked="0" hidden="1"/>
    </xf>
    <xf numFmtId="6" fontId="39" fillId="4" borderId="0" xfId="2" applyNumberFormat="1" applyFont="1" applyBorder="1" applyAlignment="1" applyProtection="1">
      <alignment horizontal="center"/>
      <protection locked="0" hidden="1"/>
    </xf>
    <xf numFmtId="6" fontId="39" fillId="4" borderId="4" xfId="2" applyNumberFormat="1" applyFont="1" applyBorder="1" applyAlignment="1" applyProtection="1">
      <alignment horizontal="center"/>
      <protection locked="0" hidden="1"/>
    </xf>
    <xf numFmtId="0" fontId="3" fillId="2" borderId="13" xfId="11" applyFill="1" applyBorder="1" applyAlignment="1" applyProtection="1">
      <alignment horizontal="center"/>
      <protection locked="0" hidden="1"/>
    </xf>
    <xf numFmtId="0" fontId="3" fillId="2" borderId="14" xfId="11" applyFill="1" applyBorder="1" applyAlignment="1" applyProtection="1">
      <alignment horizontal="center"/>
      <protection locked="0" hidden="1"/>
    </xf>
    <xf numFmtId="0" fontId="3" fillId="2" borderId="15" xfId="11" applyFill="1" applyBorder="1" applyAlignment="1" applyProtection="1">
      <alignment horizontal="center"/>
      <protection locked="0" hidden="1"/>
    </xf>
    <xf numFmtId="6" fontId="9" fillId="2" borderId="13" xfId="0" applyNumberFormat="1" applyFont="1" applyFill="1" applyBorder="1" applyAlignment="1" applyProtection="1">
      <alignment horizontal="left" vertical="top" wrapText="1"/>
      <protection locked="0" hidden="1"/>
    </xf>
    <xf numFmtId="6" fontId="9" fillId="2" borderId="14" xfId="0" applyNumberFormat="1" applyFont="1" applyFill="1" applyBorder="1" applyAlignment="1" applyProtection="1">
      <alignment horizontal="left" vertical="top" wrapText="1"/>
      <protection locked="0" hidden="1"/>
    </xf>
    <xf numFmtId="6" fontId="9" fillId="2" borderId="15" xfId="0" applyNumberFormat="1" applyFont="1" applyFill="1" applyBorder="1" applyAlignment="1" applyProtection="1">
      <alignment horizontal="left" vertical="top" wrapText="1"/>
      <protection locked="0" hidden="1"/>
    </xf>
    <xf numFmtId="6" fontId="9" fillId="2" borderId="3" xfId="0" applyNumberFormat="1" applyFont="1" applyFill="1" applyBorder="1" applyAlignment="1" applyProtection="1">
      <alignment horizontal="left" vertical="top" wrapText="1"/>
      <protection locked="0" hidden="1"/>
    </xf>
    <xf numFmtId="6" fontId="9" fillId="2" borderId="0" xfId="0" applyNumberFormat="1" applyFont="1" applyFill="1" applyAlignment="1" applyProtection="1">
      <alignment horizontal="left" vertical="top" wrapText="1"/>
      <protection locked="0" hidden="1"/>
    </xf>
    <xf numFmtId="6" fontId="9" fillId="2" borderId="4" xfId="0" applyNumberFormat="1" applyFont="1" applyFill="1" applyBorder="1" applyAlignment="1" applyProtection="1">
      <alignment horizontal="left" vertical="top" wrapText="1"/>
      <protection locked="0" hidden="1"/>
    </xf>
    <xf numFmtId="6" fontId="9" fillId="2" borderId="5" xfId="0" applyNumberFormat="1" applyFont="1" applyFill="1" applyBorder="1" applyAlignment="1" applyProtection="1">
      <alignment horizontal="left" vertical="top" wrapText="1"/>
      <protection locked="0" hidden="1"/>
    </xf>
    <xf numFmtId="6" fontId="9" fillId="2" borderId="11" xfId="0" applyNumberFormat="1" applyFont="1" applyFill="1" applyBorder="1" applyAlignment="1" applyProtection="1">
      <alignment horizontal="left" vertical="top" wrapText="1"/>
      <protection locked="0" hidden="1"/>
    </xf>
    <xf numFmtId="6" fontId="9" fillId="2" borderId="6" xfId="0" applyNumberFormat="1" applyFont="1" applyFill="1" applyBorder="1" applyAlignment="1" applyProtection="1">
      <alignment horizontal="left" vertical="top" wrapText="1"/>
      <protection locked="0" hidden="1"/>
    </xf>
    <xf numFmtId="13" fontId="5" fillId="2" borderId="0" xfId="0" quotePrefix="1" applyNumberFormat="1" applyFont="1" applyFill="1" applyAlignment="1" applyProtection="1">
      <alignment horizontal="center"/>
      <protection locked="0" hidden="1"/>
    </xf>
    <xf numFmtId="0" fontId="37" fillId="12" borderId="0" xfId="11" applyFont="1" applyBorder="1" applyAlignment="1" applyProtection="1">
      <alignment horizontal="center"/>
      <protection locked="0" hidden="1"/>
    </xf>
    <xf numFmtId="0" fontId="38" fillId="12" borderId="0" xfId="11" applyFont="1" applyBorder="1" applyAlignment="1" applyProtection="1">
      <alignment horizontal="center"/>
      <protection locked="0" hidden="1"/>
    </xf>
    <xf numFmtId="0" fontId="29" fillId="4" borderId="13" xfId="2" applyNumberFormat="1" applyFont="1" applyBorder="1" applyAlignment="1" applyProtection="1">
      <alignment horizontal="center"/>
      <protection locked="0" hidden="1"/>
    </xf>
    <xf numFmtId="0" fontId="29" fillId="4" borderId="14" xfId="2" applyNumberFormat="1" applyFont="1" applyBorder="1" applyAlignment="1" applyProtection="1">
      <alignment horizontal="center"/>
      <protection locked="0" hidden="1"/>
    </xf>
    <xf numFmtId="0" fontId="29" fillId="4" borderId="15" xfId="2" applyNumberFormat="1" applyFont="1" applyBorder="1" applyAlignment="1" applyProtection="1">
      <alignment horizontal="center"/>
      <protection locked="0" hidden="1"/>
    </xf>
    <xf numFmtId="0" fontId="29" fillId="4" borderId="3" xfId="2" applyNumberFormat="1" applyFont="1" applyBorder="1" applyAlignment="1" applyProtection="1">
      <alignment horizontal="center"/>
      <protection locked="0" hidden="1"/>
    </xf>
    <xf numFmtId="0" fontId="29" fillId="4" borderId="0" xfId="2" applyNumberFormat="1" applyFont="1" applyBorder="1" applyAlignment="1" applyProtection="1">
      <alignment horizontal="center"/>
      <protection locked="0" hidden="1"/>
    </xf>
    <xf numFmtId="0" fontId="29" fillId="4" borderId="4" xfId="2" applyNumberFormat="1" applyFont="1" applyBorder="1" applyAlignment="1" applyProtection="1">
      <alignment horizontal="center"/>
      <protection locked="0" hidden="1"/>
    </xf>
    <xf numFmtId="0" fontId="39" fillId="4" borderId="13" xfId="2" applyNumberFormat="1" applyFont="1" applyBorder="1" applyAlignment="1" applyProtection="1">
      <alignment horizontal="center"/>
      <protection locked="0" hidden="1"/>
    </xf>
    <xf numFmtId="0" fontId="39" fillId="4" borderId="14" xfId="2" applyNumberFormat="1" applyFont="1" applyBorder="1" applyAlignment="1" applyProtection="1">
      <alignment horizontal="center"/>
      <protection locked="0" hidden="1"/>
    </xf>
    <xf numFmtId="0" fontId="39" fillId="4" borderId="15" xfId="2" applyNumberFormat="1" applyFont="1" applyBorder="1" applyAlignment="1" applyProtection="1">
      <alignment horizontal="center"/>
      <protection locked="0" hidden="1"/>
    </xf>
    <xf numFmtId="0" fontId="46" fillId="2" borderId="0" xfId="0" applyFont="1" applyFill="1" applyAlignment="1" applyProtection="1">
      <alignment horizontal="left"/>
      <protection locked="0" hidden="1"/>
    </xf>
    <xf numFmtId="0" fontId="43" fillId="2" borderId="0" xfId="0" applyFont="1" applyFill="1" applyAlignment="1" applyProtection="1">
      <alignment horizontal="left" vertical="top" wrapText="1"/>
      <protection locked="0" hidden="1"/>
    </xf>
    <xf numFmtId="0" fontId="47" fillId="2" borderId="0" xfId="0" applyFont="1" applyFill="1" applyAlignment="1" applyProtection="1">
      <alignment horizontal="center"/>
      <protection locked="0" hidden="1"/>
    </xf>
    <xf numFmtId="0" fontId="1" fillId="2" borderId="0" xfId="0" applyFont="1" applyFill="1" applyAlignment="1" applyProtection="1">
      <alignment horizontal="left" vertical="top" wrapText="1"/>
      <protection locked="0" hidden="1"/>
    </xf>
  </cellXfs>
  <cellStyles count="23">
    <cellStyle name="(Yr) Total Input" xfId="15" xr:uid="{3B31F0DB-7427-A84F-A6E0-7DDA6883536C}"/>
    <cellStyle name="Accent1" xfId="2" builtinId="29"/>
    <cellStyle name="Accent6" xfId="16" builtinId="49"/>
    <cellStyle name="Calculation" xfId="3" builtinId="22"/>
    <cellStyle name="category" xfId="11" xr:uid="{8888A7FD-1E36-D04C-854E-697C0513998A}"/>
    <cellStyle name="circle one" xfId="22" xr:uid="{775DC512-5638-B84E-AEC9-309DD66828F5}"/>
    <cellStyle name="Cumulative Expense" xfId="17" xr:uid="{147FB43D-0128-9C40-B2FF-D2367461CC5B}"/>
    <cellStyle name="Discretionary Income" xfId="18" xr:uid="{443D5088-69A0-444F-BE11-5F1EC6946F48}"/>
    <cellStyle name="Good" xfId="5" builtinId="26"/>
    <cellStyle name="Heading heading" xfId="9" xr:uid="{3C66952B-5EBD-9B49-926E-C0FEA116A3EE}"/>
    <cellStyle name="heading-title" xfId="20" xr:uid="{C5D9895F-1BF2-804F-BA5E-B7B47E1687BA}"/>
    <cellStyle name="Headings" xfId="7" xr:uid="{ED7BB786-90E3-BE47-B295-E5F9F0A3B557}"/>
    <cellStyle name="input (M)" xfId="13" xr:uid="{FF060233-A3D3-5D45-AB8E-D7C73ECE97B5}"/>
    <cellStyle name="input $" xfId="10" xr:uid="{C9B88EAC-6086-C344-9320-5DD2FD079A77}"/>
    <cellStyle name="Months." xfId="8" xr:uid="{C407B203-C41D-5E42-9AA4-3FCEDC2AB467}"/>
    <cellStyle name="Neutral" xfId="1" builtinId="28"/>
    <cellStyle name="Normal" xfId="0" builtinId="0"/>
    <cellStyle name="Output" xfId="6" builtinId="21"/>
    <cellStyle name="Percent" xfId="4" builtinId="5"/>
    <cellStyle name="profile heading" xfId="19" xr:uid="{8DE4C51C-AFD5-1642-B6D2-9F86F125D4F2}"/>
    <cellStyle name="subheadings" xfId="21" xr:uid="{2541DB0D-026A-2147-9C8C-4803B94CBEC3}"/>
    <cellStyle name="Total (M)" xfId="12" xr:uid="{25973627-85F9-9F45-9577-1DF93469BABB}"/>
    <cellStyle name="Total (Yr)" xfId="14" xr:uid="{DA865645-F43A-C042-99DB-53039B034253}"/>
  </cellStyles>
  <dxfs count="80">
    <dxf>
      <font>
        <color rgb="FF9C0006"/>
      </font>
    </dxf>
    <dxf>
      <font>
        <color rgb="FF9C0006"/>
      </font>
      <fill>
        <patternFill>
          <bgColor rgb="FFFFC7CE"/>
        </patternFill>
      </fill>
    </dxf>
    <dxf>
      <font>
        <color rgb="FF006100"/>
      </font>
      <fill>
        <patternFill>
          <bgColor rgb="FFC6EFCE"/>
        </patternFill>
      </fill>
    </dxf>
    <dxf>
      <font>
        <color theme="1"/>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9"/>
      </font>
    </dxf>
    <dxf>
      <font>
        <color theme="1"/>
      </font>
    </dxf>
    <dxf>
      <font>
        <color theme="1"/>
      </font>
    </dxf>
    <dxf>
      <font>
        <color rgb="FF9C0006"/>
      </font>
      <fill>
        <patternFill>
          <bgColor rgb="FFFFC7CE"/>
        </patternFill>
      </fill>
    </dxf>
    <dxf>
      <font>
        <color theme="9"/>
      </font>
    </dxf>
    <dxf>
      <font>
        <color theme="1"/>
      </font>
    </dxf>
    <dxf>
      <font>
        <color theme="9"/>
      </font>
    </dxf>
    <dxf>
      <font>
        <color theme="9"/>
      </font>
    </dxf>
    <dxf>
      <font>
        <color rgb="FF9C0006"/>
      </font>
      <fill>
        <patternFill>
          <bgColor rgb="FFFFC7CE"/>
        </patternFill>
      </fill>
    </dxf>
    <dxf>
      <font>
        <color rgb="FF9C0006"/>
      </font>
      <fill>
        <patternFill>
          <bgColor rgb="FFFFC7CE"/>
        </patternFill>
      </fill>
    </dxf>
    <dxf>
      <font>
        <color theme="9"/>
      </font>
    </dxf>
    <dxf>
      <font>
        <color rgb="FF9C0006"/>
      </font>
      <fill>
        <patternFill>
          <bgColor rgb="FFFFC7CE"/>
        </patternFill>
      </fill>
    </dxf>
    <dxf>
      <font>
        <color theme="9"/>
      </font>
    </dxf>
    <dxf>
      <font>
        <color theme="1"/>
      </font>
    </dxf>
    <dxf>
      <font>
        <color rgb="FF9C0006"/>
      </font>
      <fill>
        <patternFill>
          <bgColor rgb="FFFFC7CE"/>
        </patternFill>
      </fill>
    </dxf>
    <dxf>
      <font>
        <color theme="9"/>
      </font>
    </dxf>
    <dxf>
      <font>
        <color theme="9"/>
      </font>
    </dxf>
    <dxf>
      <font>
        <color theme="9"/>
      </font>
    </dxf>
    <dxf>
      <font>
        <color rgb="FF9C0006"/>
      </font>
      <fill>
        <patternFill>
          <bgColor rgb="FFFFC7CE"/>
        </patternFill>
      </fill>
    </dxf>
    <dxf>
      <font>
        <color rgb="FF9C0006"/>
      </font>
      <fill>
        <patternFill>
          <bgColor rgb="FFFFC7CE"/>
        </patternFill>
      </fill>
    </dxf>
    <dxf>
      <font>
        <color theme="9"/>
      </font>
    </dxf>
    <dxf>
      <font>
        <color theme="9"/>
      </font>
    </dxf>
    <dxf>
      <font>
        <color theme="9"/>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9"/>
      </font>
    </dxf>
    <dxf>
      <font>
        <color rgb="FF9C0006"/>
      </font>
      <fill>
        <patternFill>
          <bgColor rgb="FFFFC7CE"/>
        </patternFill>
      </fill>
    </dxf>
    <dxf>
      <font>
        <color rgb="FF9C0006"/>
      </font>
      <fill>
        <patternFill>
          <bgColor rgb="FFFFC7CE"/>
        </patternFill>
      </fill>
    </dxf>
    <dxf>
      <font>
        <color theme="9"/>
      </font>
    </dxf>
    <dxf>
      <font>
        <color rgb="FF006100"/>
      </font>
      <fill>
        <patternFill>
          <bgColor rgb="FFC6EFCE"/>
        </patternFill>
      </fill>
    </dxf>
    <dxf>
      <font>
        <color theme="9"/>
      </font>
    </dxf>
    <dxf>
      <font>
        <color rgb="FF9C0006"/>
      </font>
      <fill>
        <patternFill>
          <bgColor rgb="FFFFC7CE"/>
        </patternFill>
      </fill>
    </dxf>
    <dxf>
      <font>
        <u val="none"/>
        <color theme="9"/>
      </font>
    </dxf>
    <dxf>
      <font>
        <color rgb="FF9C0006"/>
      </font>
      <fill>
        <patternFill>
          <bgColor rgb="FFFFC7CE"/>
        </patternFill>
      </fill>
    </dxf>
    <dxf>
      <font>
        <color theme="9"/>
      </font>
    </dxf>
    <dxf>
      <font>
        <color theme="1"/>
      </font>
    </dxf>
    <dxf>
      <font>
        <color theme="1"/>
      </font>
    </dxf>
    <dxf>
      <font>
        <color rgb="FF9C0006"/>
      </font>
      <fill>
        <patternFill>
          <bgColor rgb="FFFFC7CE"/>
        </patternFill>
      </fill>
    </dxf>
    <dxf>
      <font>
        <color theme="9"/>
      </font>
    </dxf>
    <dxf>
      <font>
        <color theme="1"/>
      </font>
    </dxf>
    <dxf>
      <font>
        <color theme="9"/>
      </font>
    </dxf>
    <dxf>
      <font>
        <color theme="9"/>
      </font>
    </dxf>
    <dxf>
      <font>
        <color rgb="FF9C0006"/>
      </font>
      <fill>
        <patternFill>
          <bgColor rgb="FFFFC7CE"/>
        </patternFill>
      </fill>
    </dxf>
    <dxf>
      <font>
        <color rgb="FF9C0006"/>
      </font>
      <fill>
        <patternFill>
          <bgColor rgb="FFFFC7CE"/>
        </patternFill>
      </fill>
    </dxf>
    <dxf>
      <font>
        <color theme="9"/>
      </font>
    </dxf>
    <dxf>
      <font>
        <color rgb="FF9C0006"/>
      </font>
      <fill>
        <patternFill>
          <bgColor rgb="FFFFC7CE"/>
        </patternFill>
      </fill>
    </dxf>
    <dxf>
      <font>
        <color theme="9"/>
      </font>
    </dxf>
    <dxf>
      <font>
        <color theme="1"/>
      </font>
    </dxf>
    <dxf>
      <font>
        <color rgb="FF9C0006"/>
      </font>
      <fill>
        <patternFill>
          <bgColor rgb="FFFFC7CE"/>
        </patternFill>
      </fill>
    </dxf>
    <dxf>
      <font>
        <color theme="9"/>
      </font>
    </dxf>
    <dxf>
      <font>
        <color theme="9"/>
      </font>
    </dxf>
    <dxf>
      <font>
        <color theme="9"/>
      </font>
    </dxf>
    <dxf>
      <font>
        <color rgb="FF9C0006"/>
      </font>
      <fill>
        <patternFill>
          <bgColor rgb="FFFFC7CE"/>
        </patternFill>
      </fill>
    </dxf>
    <dxf>
      <font>
        <color rgb="FF9C0006"/>
      </font>
      <fill>
        <patternFill>
          <bgColor rgb="FFFFC7CE"/>
        </patternFill>
      </fill>
    </dxf>
    <dxf>
      <font>
        <color theme="9"/>
      </font>
    </dxf>
    <dxf>
      <font>
        <color theme="9"/>
      </font>
    </dxf>
    <dxf>
      <font>
        <color theme="9"/>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9"/>
      </font>
    </dxf>
    <dxf>
      <font>
        <color rgb="FF9C0006"/>
      </font>
      <fill>
        <patternFill>
          <bgColor rgb="FFFFC7CE"/>
        </patternFill>
      </fill>
    </dxf>
    <dxf>
      <font>
        <color rgb="FF9C0006"/>
      </font>
      <fill>
        <patternFill>
          <bgColor rgb="FFFFC7CE"/>
        </patternFill>
      </fill>
    </dxf>
    <dxf>
      <font>
        <color theme="9"/>
      </font>
    </dxf>
    <dxf>
      <font>
        <color rgb="FF006100"/>
      </font>
      <fill>
        <patternFill>
          <bgColor rgb="FFC6EFCE"/>
        </patternFill>
      </fill>
    </dxf>
    <dxf>
      <font>
        <color theme="9"/>
      </font>
    </dxf>
    <dxf>
      <font>
        <color rgb="FF9C0006"/>
      </font>
      <fill>
        <patternFill>
          <bgColor rgb="FFFFC7CE"/>
        </patternFill>
      </fill>
    </dxf>
    <dxf>
      <font>
        <u val="none"/>
        <color theme="9"/>
      </font>
    </dxf>
    <dxf>
      <font>
        <color rgb="FF9C0006"/>
      </font>
      <fill>
        <patternFill>
          <bgColor rgb="FFFFC7CE"/>
        </patternFill>
      </fill>
    </dxf>
    <dxf>
      <font>
        <color rgb="FF006100"/>
      </font>
      <fill>
        <patternFill>
          <bgColor rgb="FFC6EFCE"/>
        </patternFill>
      </fill>
    </dxf>
    <dxf>
      <font>
        <color theme="1"/>
      </font>
    </dxf>
    <dxf>
      <font>
        <color theme="1"/>
      </font>
    </dxf>
  </dxfs>
  <tableStyles count="1" defaultTableStyle="TableStyleMedium2" defaultPivotStyle="PivotStyleMedium9">
    <tableStyle name="Table Style 1" pivot="0" count="0" xr9:uid="{6A7E0D50-4AB1-514E-AD63-4A9612EA8A3A}"/>
  </tableStyles>
  <colors>
    <mruColors>
      <color rgb="FFEAF2FA"/>
      <color rgb="FFE5B73B"/>
      <color rgb="FFF2F4F7"/>
      <color rgb="FFFFC30B"/>
      <color rgb="FFFFE128"/>
      <color rgb="FFD4AF37"/>
      <color rgb="FFFFD662"/>
      <color rgb="FFFFEB00"/>
      <color rgb="FFFFB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worksheet" Target="worksheets/sheet10.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Wealth</a:t>
            </a:r>
            <a:r>
              <a:rPr lang="en-US" b="1" baseline="0"/>
              <a:t> Distribution</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'Asset Maps'!$B$14</c:f>
              <c:strCache>
                <c:ptCount val="1"/>
                <c:pt idx="0">
                  <c:v>Client Input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BAF-694F-9A1B-A6D0D154FF2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5BAF-694F-9A1B-A6D0D154FF2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5BAF-694F-9A1B-A6D0D154FF2F}"/>
              </c:ext>
            </c:extLst>
          </c:dPt>
          <c:dLbls>
            <c:dLbl>
              <c:idx val="0"/>
              <c:layout>
                <c:manualLayout>
                  <c:x val="-4.2966264503467855E-3"/>
                  <c:y val="-0.14738778447448142"/>
                </c:manualLayout>
              </c:layout>
              <c:tx>
                <c:rich>
                  <a:bodyPr/>
                  <a:lstStyle/>
                  <a:p>
                    <a:fld id="{D03F9895-3C1D-DF44-92A3-54407D7AAE9E}" type="CATEGORYNAME">
                      <a:rPr lang="en-US" sz="1100"/>
                      <a:pPr/>
                      <a:t>[CATEGORY NAME]</a:t>
                    </a:fld>
                    <a:r>
                      <a:rPr lang="en-US" sz="1100" baseline="0"/>
                      <a:t>
</a:t>
                    </a:r>
                    <a:fld id="{41646FA4-B50C-4748-B690-3214D4CF2CF0}" type="PERCENTAGE">
                      <a:rPr lang="en-US" sz="1100" baseline="0"/>
                      <a:pPr/>
                      <a:t>[PERCENTAGE]</a:t>
                    </a:fld>
                    <a:endParaRPr lang="en-US" sz="1100" baseline="0"/>
                  </a:p>
                </c:rich>
              </c:tx>
              <c:dLblPos val="bestFit"/>
              <c:showLegendKey val="0"/>
              <c:showVal val="0"/>
              <c:showCatName val="1"/>
              <c:showSerName val="0"/>
              <c:showPercent val="1"/>
              <c:showBubbleSize val="0"/>
              <c:extLst>
                <c:ext xmlns:c15="http://schemas.microsoft.com/office/drawing/2012/chart" uri="{CE6537A1-D6FC-4f65-9D91-7224C49458BB}">
                  <c15:layout>
                    <c:manualLayout>
                      <c:w val="0.18892149022743843"/>
                      <c:h val="0.1939633531503788"/>
                    </c:manualLayout>
                  </c15:layout>
                  <c15:dlblFieldTable/>
                  <c15:showDataLabelsRange val="0"/>
                </c:ext>
                <c:ext xmlns:c16="http://schemas.microsoft.com/office/drawing/2014/chart" uri="{C3380CC4-5D6E-409C-BE32-E72D297353CC}">
                  <c16:uniqueId val="{00000001-5BAF-694F-9A1B-A6D0D154FF2F}"/>
                </c:ext>
              </c:extLst>
            </c:dLbl>
            <c:dLbl>
              <c:idx val="1"/>
              <c:layout>
                <c:manualLayout>
                  <c:x val="0.35644746722323201"/>
                  <c:y val="-0.21054869915384375"/>
                </c:manualLayout>
              </c:layout>
              <c:tx>
                <c:rich>
                  <a:bodyPr/>
                  <a:lstStyle/>
                  <a:p>
                    <a:fld id="{325C2D9C-F007-2F48-801C-B643E4819AAD}" type="CATEGORYNAME">
                      <a:rPr lang="en-US" sz="1100"/>
                      <a:pPr/>
                      <a:t>[CATEGORY NAME]</a:t>
                    </a:fld>
                    <a:r>
                      <a:rPr lang="en-US" sz="1100" baseline="0"/>
                      <a:t>
</a:t>
                    </a:r>
                    <a:fld id="{993AFF4C-AA27-4D4F-987A-1284767D82F2}" type="PERCENTAGE">
                      <a:rPr lang="en-US" sz="1100" baseline="0"/>
                      <a:pPr/>
                      <a:t>[PERCENTAGE]</a:t>
                    </a:fld>
                    <a:endParaRPr lang="en-US" sz="1100" baseline="0"/>
                  </a:p>
                </c:rich>
              </c:tx>
              <c:dLblPos val="bestFit"/>
              <c:showLegendKey val="0"/>
              <c:showVal val="0"/>
              <c:showCatName val="1"/>
              <c:showSerName val="0"/>
              <c:showPercent val="1"/>
              <c:showBubbleSize val="0"/>
              <c:extLst>
                <c:ext xmlns:c15="http://schemas.microsoft.com/office/drawing/2012/chart" uri="{CE6537A1-D6FC-4f65-9D91-7224C49458BB}">
                  <c15:layout>
                    <c:manualLayout>
                      <c:w val="0.1916088606574177"/>
                      <c:h val="0.1939633531503788"/>
                    </c:manualLayout>
                  </c15:layout>
                  <c15:dlblFieldTable/>
                  <c15:showDataLabelsRange val="0"/>
                </c:ext>
                <c:ext xmlns:c16="http://schemas.microsoft.com/office/drawing/2014/chart" uri="{C3380CC4-5D6E-409C-BE32-E72D297353CC}">
                  <c16:uniqueId val="{00000002-5BAF-694F-9A1B-A6D0D154FF2F}"/>
                </c:ext>
              </c:extLst>
            </c:dLbl>
            <c:dLbl>
              <c:idx val="2"/>
              <c:layout>
                <c:manualLayout>
                  <c:x val="-2.7328214247632956E-3"/>
                  <c:y val="3.2185015225642134E-2"/>
                </c:manualLayout>
              </c:layout>
              <c:tx>
                <c:rich>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fld id="{4E5065DE-2A9F-CD42-B03E-36A280FEDC37}" type="CATEGORYNAME">
                      <a:rPr lang="en-US" sz="1100"/>
                      <a:pPr>
                        <a:defRPr/>
                      </a:pPr>
                      <a:t>[CATEGORY NAME]</a:t>
                    </a:fld>
                    <a:r>
                      <a:rPr lang="en-US" baseline="0"/>
                      <a:t>
</a:t>
                    </a:r>
                    <a:fld id="{A3956A66-E3C2-4143-B0FD-2BB039D68DEC}" type="PERCENTAGE">
                      <a:rPr lang="en-US" sz="1100" baseline="0"/>
                      <a:pPr>
                        <a:defRPr/>
                      </a:pPr>
                      <a:t>[PERCENTAGE]</a:t>
                    </a:fld>
                    <a:endParaRPr lang="en-US" baseline="0"/>
                  </a:p>
                </c:rich>
              </c:tx>
              <c:spPr>
                <a:solidFill>
                  <a:sysClr val="window" lastClr="FFFFFF"/>
                </a:solidFill>
                <a:ln>
                  <a:solidFill>
                    <a:sysClr val="windowText" lastClr="000000">
                      <a:lumMod val="25000"/>
                      <a:lumOff val="75000"/>
                    </a:sysClr>
                  </a:solidFill>
                  <a:round/>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2482204597152736"/>
                      <c:h val="0.21893429887237234"/>
                    </c:manualLayout>
                  </c15:layout>
                  <c15:dlblFieldTable/>
                  <c15:showDataLabelsRange val="0"/>
                </c:ext>
                <c:ext xmlns:c16="http://schemas.microsoft.com/office/drawing/2014/chart" uri="{C3380CC4-5D6E-409C-BE32-E72D297353CC}">
                  <c16:uniqueId val="{00000003-5BAF-694F-9A1B-A6D0D154FF2F}"/>
                </c:ext>
              </c:extLst>
            </c:dLbl>
            <c:spPr>
              <a:solidFill>
                <a:sysClr val="window" lastClr="FFFFFF"/>
              </a:solidFill>
              <a:ln>
                <a:solidFill>
                  <a:sysClr val="windowText" lastClr="000000">
                    <a:lumMod val="25000"/>
                    <a:lumOff val="75000"/>
                  </a:sysClr>
                </a:solidFill>
                <a:round/>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'Asset Maps'!$A$15:$A$17</c:f>
              <c:strCache>
                <c:ptCount val="3"/>
                <c:pt idx="0">
                  <c:v>Brokerage Account</c:v>
                </c:pt>
                <c:pt idx="1">
                  <c:v>Savings Account</c:v>
                </c:pt>
                <c:pt idx="2">
                  <c:v>Retirement Account</c:v>
                </c:pt>
              </c:strCache>
            </c:strRef>
          </c:cat>
          <c:val>
            <c:numRef>
              <c:f>'Asset Maps'!$B$15:$B$17</c:f>
              <c:numCache>
                <c:formatCode>"$"#,##0_);[Red]\("$"#,##0\)</c:formatCode>
                <c:ptCount val="3"/>
                <c:pt idx="0" formatCode="&quot;$&quot;#,##0">
                  <c:v>100</c:v>
                </c:pt>
                <c:pt idx="1">
                  <c:v>100</c:v>
                </c:pt>
                <c:pt idx="2">
                  <c:v>100</c:v>
                </c:pt>
              </c:numCache>
            </c:numRef>
          </c:val>
          <c:extLst>
            <c:ext xmlns:c16="http://schemas.microsoft.com/office/drawing/2014/chart" uri="{C3380CC4-5D6E-409C-BE32-E72D297353CC}">
              <c16:uniqueId val="{00000000-5BAF-694F-9A1B-A6D0D154FF2F}"/>
            </c:ext>
          </c:extLst>
        </c:ser>
        <c:dLbls>
          <c:showLegendKey val="0"/>
          <c:showVal val="0"/>
          <c:showCatName val="0"/>
          <c:showSerName val="0"/>
          <c:showPercent val="0"/>
          <c:showBubbleSize val="0"/>
          <c:showLeaderLines val="0"/>
        </c:dLbls>
        <c:firstSliceAng val="0"/>
      </c:pieChart>
      <c:spPr>
        <a:noFill/>
        <a:ln>
          <a:noFill/>
        </a:ln>
        <a:effectLst/>
      </c:spPr>
    </c:plotArea>
    <c:legend>
      <c:legendPos val="b"/>
      <c:legendEntry>
        <c:idx val="0"/>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1357452817192451"/>
          <c:y val="0.82294232078999663"/>
          <c:w val="0.79518444722951143"/>
          <c:h val="0.1104531068847800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sz="1600">
                <a:solidFill>
                  <a:schemeClr val="tx1">
                    <a:lumMod val="50000"/>
                    <a:lumOff val="50000"/>
                  </a:schemeClr>
                </a:solidFill>
                <a:latin typeface="+mn-lt"/>
              </a:rPr>
              <a:t>Theoretical </a:t>
            </a:r>
            <a:br>
              <a:rPr lang="en-US" sz="1600">
                <a:solidFill>
                  <a:schemeClr val="tx1">
                    <a:lumMod val="50000"/>
                    <a:lumOff val="50000"/>
                  </a:schemeClr>
                </a:solidFill>
                <a:latin typeface="+mn-lt"/>
              </a:rPr>
            </a:br>
            <a:r>
              <a:rPr lang="en-US" sz="1600">
                <a:solidFill>
                  <a:schemeClr val="tx1">
                    <a:lumMod val="50000"/>
                    <a:lumOff val="50000"/>
                  </a:schemeClr>
                </a:solidFill>
                <a:latin typeface="+mn-lt"/>
              </a:rPr>
              <a:t>Monthly (70/30)</a:t>
            </a:r>
          </a:p>
        </c:rich>
      </c:tx>
      <c:layout>
        <c:manualLayout>
          <c:xMode val="edge"/>
          <c:yMode val="edge"/>
          <c:x val="0.59819175831932336"/>
          <c:y val="0.10834747993700726"/>
        </c:manualLayout>
      </c:layout>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lotArea>
      <c:layout>
        <c:manualLayout>
          <c:layoutTarget val="inner"/>
          <c:xMode val="edge"/>
          <c:yMode val="edge"/>
          <c:x val="0"/>
          <c:y val="0"/>
          <c:w val="0.61752274705930765"/>
          <c:h val="0.99360122293441944"/>
        </c:manualLayout>
      </c:layout>
      <c:pieChart>
        <c:varyColors val="1"/>
        <c:ser>
          <c:idx val="0"/>
          <c:order val="0"/>
          <c:tx>
            <c:strRef>
              <c:f>'Financial Summary'!$B$42</c:f>
              <c:strCache>
                <c:ptCount val="1"/>
                <c:pt idx="0">
                  <c:v>Monthly</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8E53-0F40-8BFA-B96DC924EB3E}"/>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2-8E53-0F40-8BFA-B96DC924EB3E}"/>
              </c:ext>
            </c:extLst>
          </c:dPt>
          <c:dLbls>
            <c:dLbl>
              <c:idx val="0"/>
              <c:layout>
                <c:manualLayout>
                  <c:x val="-0.24088003046136611"/>
                  <c:y val="-0.25323490165385754"/>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r>
                      <a:rPr lang="en-US" baseline="0">
                        <a:solidFill>
                          <a:schemeClr val="bg1"/>
                        </a:solidFill>
                      </a:rPr>
                      <a:t>Checkings </a:t>
                    </a:r>
                  </a:p>
                  <a:p>
                    <a:pPr>
                      <a:defRPr/>
                    </a:pPr>
                    <a:fld id="{A6351E17-EB02-3545-992D-A91E61BA8279}" type="VALUE">
                      <a:rPr lang="en-US" baseline="0">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22431719305450393"/>
                      <c:h val="0.32965828573857076"/>
                    </c:manualLayout>
                  </c15:layout>
                  <c15:dlblFieldTable/>
                  <c15:showDataLabelsRange val="0"/>
                </c:ext>
                <c:ext xmlns:c16="http://schemas.microsoft.com/office/drawing/2014/chart" uri="{C3380CC4-5D6E-409C-BE32-E72D297353CC}">
                  <c16:uniqueId val="{00000001-8E53-0F40-8BFA-B96DC924EB3E}"/>
                </c:ext>
              </c:extLst>
            </c:dLbl>
            <c:dLbl>
              <c:idx val="1"/>
              <c:layout>
                <c:manualLayout>
                  <c:x val="1.8582706471821434E-2"/>
                  <c:y val="0.21446703923753554"/>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r>
                      <a:rPr lang="en-US" baseline="0">
                        <a:solidFill>
                          <a:schemeClr val="bg1"/>
                        </a:solidFill>
                      </a:rPr>
                      <a:t>Investments/Savings </a:t>
                    </a:r>
                    <a:fld id="{4DEA79CA-4236-A143-ABDB-EE59159123BF}" type="VALUE">
                      <a:rPr lang="en-US" baseline="0">
                        <a:solidFill>
                          <a:schemeClr val="bg1"/>
                        </a:solidFill>
                      </a:rPr>
                      <a:pPr>
                        <a:defRPr/>
                      </a:pPr>
                      <a:t>[VALUE]</a:t>
                    </a:fld>
                    <a:endParaRPr lang="en-US"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31769979382437402"/>
                      <c:h val="0.3476583502935961"/>
                    </c:manualLayout>
                  </c15:layout>
                  <c15:dlblFieldTable/>
                  <c15:showDataLabelsRange val="0"/>
                </c:ext>
                <c:ext xmlns:c16="http://schemas.microsoft.com/office/drawing/2014/chart" uri="{C3380CC4-5D6E-409C-BE32-E72D297353CC}">
                  <c16:uniqueId val="{00000002-8E53-0F40-8BFA-B96DC924EB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'Financial Summary'!$A$43:$A$44</c:f>
              <c:strCache>
                <c:ptCount val="2"/>
                <c:pt idx="0">
                  <c:v>Checkings (70%)</c:v>
                </c:pt>
                <c:pt idx="1">
                  <c:v>Investments/Savings (30%)</c:v>
                </c:pt>
              </c:strCache>
            </c:strRef>
          </c:cat>
          <c:val>
            <c:numRef>
              <c:f>'Financial Summary'!$B$43:$B$44</c:f>
              <c:numCache>
                <c:formatCode>"$"#,##0_);[Red]\("$"#,##0\)</c:formatCode>
                <c:ptCount val="2"/>
                <c:pt idx="0">
                  <c:v>5833.333333333333</c:v>
                </c:pt>
                <c:pt idx="1">
                  <c:v>2500</c:v>
                </c:pt>
              </c:numCache>
            </c:numRef>
          </c:val>
          <c:extLst>
            <c:ext xmlns:c16="http://schemas.microsoft.com/office/drawing/2014/chart" uri="{C3380CC4-5D6E-409C-BE32-E72D297353CC}">
              <c16:uniqueId val="{00000000-8E53-0F40-8BFA-B96DC924EB3E}"/>
            </c:ext>
          </c:extLst>
        </c:ser>
        <c:dLbls>
          <c:dLblPos val="inEnd"/>
          <c:showLegendKey val="0"/>
          <c:showVal val="1"/>
          <c:showCatName val="1"/>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Entry>
      <c:layout>
        <c:manualLayout>
          <c:xMode val="edge"/>
          <c:yMode val="edge"/>
          <c:x val="0.6356210029906697"/>
          <c:y val="0.41045973682715237"/>
          <c:w val="0.36327356406231021"/>
          <c:h val="0.38895325410809933"/>
        </c:manualLayout>
      </c:layout>
      <c:overlay val="0"/>
      <c:spPr>
        <a:solidFill>
          <a:schemeClr val="lt1">
            <a:alpha val="50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a:latin typeface="+mn-lt"/>
              </a:rPr>
              <a:t>Actual</a:t>
            </a:r>
            <a:br>
              <a:rPr lang="en-US" baseline="0">
                <a:latin typeface="+mn-lt"/>
              </a:rPr>
            </a:br>
            <a:r>
              <a:rPr lang="en-US" baseline="0">
                <a:latin typeface="+mn-lt"/>
              </a:rPr>
              <a:t>Monthly ~(70/30)</a:t>
            </a:r>
          </a:p>
        </c:rich>
      </c:tx>
      <c:layout>
        <c:manualLayout>
          <c:xMode val="edge"/>
          <c:yMode val="edge"/>
          <c:x val="0.57700206214928063"/>
          <c:y val="9.9964446332431414E-2"/>
        </c:manualLayout>
      </c:layout>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lotArea>
      <c:layout>
        <c:manualLayout>
          <c:layoutTarget val="inner"/>
          <c:xMode val="edge"/>
          <c:yMode val="edge"/>
          <c:x val="1.6355252868004513E-2"/>
          <c:y val="0"/>
          <c:w val="0.56723593775187886"/>
          <c:h val="1"/>
        </c:manualLayout>
      </c:layout>
      <c:pieChart>
        <c:varyColors val="1"/>
        <c:ser>
          <c:idx val="0"/>
          <c:order val="0"/>
          <c:tx>
            <c:strRef>
              <c:f>'Financial Summary'!$E$42</c:f>
              <c:strCache>
                <c:ptCount val="1"/>
                <c:pt idx="0">
                  <c:v>Monthly</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7-0C4B-9A4F-BAAE-BF5A9C1067D8}"/>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1-0C4B-9A4F-BAAE-BF5A9C1067D8}"/>
              </c:ext>
            </c:extLst>
          </c:dPt>
          <c:dLbls>
            <c:dLbl>
              <c:idx val="0"/>
              <c:layout>
                <c:manualLayout>
                  <c:x val="-0.24004983926080187"/>
                  <c:y val="-0.24554143681679411"/>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r>
                      <a:rPr lang="en-US">
                        <a:solidFill>
                          <a:schemeClr val="bg1"/>
                        </a:solidFill>
                      </a:rPr>
                      <a:t>Fixed Expenses</a:t>
                    </a:r>
                    <a:br>
                      <a:rPr lang="en-US">
                        <a:solidFill>
                          <a:schemeClr val="bg1"/>
                        </a:solidFill>
                      </a:rPr>
                    </a:br>
                    <a:fld id="{ED84A521-08AA-7F4C-941D-E87A17B1E685}" type="VALUE">
                      <a:rPr lang="en-US">
                        <a:solidFill>
                          <a:schemeClr val="bg1"/>
                        </a:solidFill>
                      </a:rPr>
                      <a:pPr>
                        <a:defRPr/>
                      </a:pPr>
                      <a:t>[VALUE]</a:t>
                    </a:fld>
                    <a:endParaRPr lang="en-US">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2343094386525358"/>
                      <c:h val="0.33220963135073417"/>
                    </c:manualLayout>
                  </c15:layout>
                  <c15:dlblFieldTable/>
                  <c15:showDataLabelsRange val="0"/>
                </c:ext>
                <c:ext xmlns:c16="http://schemas.microsoft.com/office/drawing/2014/chart" uri="{C3380CC4-5D6E-409C-BE32-E72D297353CC}">
                  <c16:uniqueId val="{00000007-0C4B-9A4F-BAAE-BF5A9C1067D8}"/>
                </c:ext>
              </c:extLst>
            </c:dLbl>
            <c:dLbl>
              <c:idx val="1"/>
              <c:layout>
                <c:manualLayout>
                  <c:x val="2.6990883402677027E-2"/>
                  <c:y val="0.22464232063891409"/>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r>
                      <a:rPr lang="en-US">
                        <a:solidFill>
                          <a:schemeClr val="bg1"/>
                        </a:solidFill>
                      </a:rPr>
                      <a:t>Investments/Savings</a:t>
                    </a:r>
                    <a:br>
                      <a:rPr lang="en-US">
                        <a:solidFill>
                          <a:schemeClr val="bg1"/>
                        </a:solidFill>
                      </a:rPr>
                    </a:br>
                    <a:fld id="{E3409FD0-903A-C346-BD55-8862CD6D045B}" type="VALUE">
                      <a:rPr lang="en-US">
                        <a:solidFill>
                          <a:schemeClr val="bg1"/>
                        </a:solidFill>
                      </a:rPr>
                      <a:pPr>
                        <a:defRPr/>
                      </a:pPr>
                      <a:t>[VALUE]</a:t>
                    </a:fld>
                    <a:endParaRPr lang="en-US">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8085914237639037"/>
                      <c:h val="0.34781399639807553"/>
                    </c:manualLayout>
                  </c15:layout>
                  <c15:dlblFieldTable/>
                  <c15:showDataLabelsRange val="0"/>
                </c:ext>
                <c:ext xmlns:c16="http://schemas.microsoft.com/office/drawing/2014/chart" uri="{C3380CC4-5D6E-409C-BE32-E72D297353CC}">
                  <c16:uniqueId val="{00000001-0C4B-9A4F-BAAE-BF5A9C106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'Financial Summary'!$D$43:$D$44</c:f>
              <c:strCache>
                <c:ptCount val="2"/>
                <c:pt idx="0">
                  <c:v>Fixed Expenses  (68%)</c:v>
                </c:pt>
                <c:pt idx="1">
                  <c:v>Investments/Savings (32%)</c:v>
                </c:pt>
              </c:strCache>
            </c:strRef>
          </c:cat>
          <c:val>
            <c:numRef>
              <c:f>'Financial Summary'!$E$43:$E$44</c:f>
              <c:numCache>
                <c:formatCode>"$"#,##0_);[Red]\("$"#,##0\)</c:formatCode>
                <c:ptCount val="2"/>
                <c:pt idx="0">
                  <c:v>5645</c:v>
                </c:pt>
                <c:pt idx="1">
                  <c:v>2688.3333333333335</c:v>
                </c:pt>
              </c:numCache>
            </c:numRef>
          </c:val>
          <c:extLst>
            <c:ext xmlns:c16="http://schemas.microsoft.com/office/drawing/2014/chart" uri="{C3380CC4-5D6E-409C-BE32-E72D297353CC}">
              <c16:uniqueId val="{00000000-0C4B-9A4F-BAAE-BF5A9C1067D8}"/>
            </c:ext>
          </c:extLst>
        </c:ser>
        <c:dLbls>
          <c:showLegendKey val="0"/>
          <c:showVal val="0"/>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Entry>
      <c:layout>
        <c:manualLayout>
          <c:xMode val="edge"/>
          <c:yMode val="edge"/>
          <c:x val="0.65589306006671599"/>
          <c:y val="0.40762120595650891"/>
          <c:w val="0.33068394615416785"/>
          <c:h val="0.43935884755840632"/>
        </c:manualLayout>
      </c:layout>
      <c:overlay val="0"/>
      <c:spPr>
        <a:solidFill>
          <a:schemeClr val="lt1">
            <a:alpha val="50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Portfolio</a:t>
            </a:r>
            <a:r>
              <a:rPr lang="en-US" baseline="0"/>
              <a:t> Overview</a:t>
            </a:r>
          </a:p>
        </c:rich>
      </c:tx>
      <c:layout>
        <c:manualLayout>
          <c:xMode val="edge"/>
          <c:yMode val="edge"/>
          <c:x val="1.1381208693831475E-2"/>
          <c:y val="1.676428802586919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29267115109414454"/>
          <c:y val="0"/>
          <c:w val="0.6217664899579699"/>
          <c:h val="1"/>
        </c:manualLayout>
      </c:layout>
      <c:pieChart>
        <c:varyColors val="1"/>
        <c:ser>
          <c:idx val="4"/>
          <c:order val="0"/>
          <c:tx>
            <c:v>Ticker + Equity %</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6-10B2-0A4D-884B-E51A9F62333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C-10B2-0A4D-884B-E51A9F62333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B-10B2-0A4D-884B-E51A9F62333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BCB-2543-9A40-0CE5193A5CB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A-10B2-0A4D-884B-E51A9F62333D}"/>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9-10B2-0A4D-884B-E51A9F62333D}"/>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B-10B2-0A4D-884B-E51A9F62333D}"/>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BBCB-2543-9A40-0CE5193A5CB0}"/>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BBCB-2543-9A40-0CE5193A5CB0}"/>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BBCB-2543-9A40-0CE5193A5CB0}"/>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E-10B2-0A4D-884B-E51A9F62333D}"/>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F-10B2-0A4D-884B-E51A9F62333D}"/>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0-10B2-0A4D-884B-E51A9F62333D}"/>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1-10B2-0A4D-884B-E51A9F62333D}"/>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BBCB-2543-9A40-0CE5193A5CB0}"/>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BBCB-2543-9A40-0CE5193A5CB0}"/>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2-10B2-0A4D-884B-E51A9F62333D}"/>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3-10B2-0A4D-884B-E51A9F62333D}"/>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5-10B2-0A4D-884B-E51A9F62333D}"/>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4-10B2-0A4D-884B-E51A9F62333D}"/>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8-10B2-0A4D-884B-E51A9F62333D}"/>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D-10B2-0A4D-884B-E51A9F62333D}"/>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C7-10B2-0A4D-884B-E51A9F62333D}"/>
              </c:ext>
            </c:extLst>
          </c:dPt>
          <c:dLbls>
            <c:dLbl>
              <c:idx val="0"/>
              <c:layout>
                <c:manualLayout>
                  <c:x val="-1.9445078324894966E-2"/>
                  <c:y val="7.4508427427026819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C6-10B2-0A4D-884B-E51A9F62333D}"/>
                </c:ext>
              </c:extLst>
            </c:dLbl>
            <c:dLbl>
              <c:idx val="1"/>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eparator>
</c:separator>
              <c:extLst>
                <c:ext xmlns:c15="http://schemas.microsoft.com/office/drawing/2012/chart" uri="{CE6537A1-D6FC-4f65-9D91-7224C49458BB}">
                  <c15:layout>
                    <c:manualLayout>
                      <c:w val="0.20018311423420707"/>
                      <c:h val="5.8262408982827432E-2"/>
                    </c:manualLayout>
                  </c15:layout>
                </c:ext>
                <c:ext xmlns:c16="http://schemas.microsoft.com/office/drawing/2014/chart" uri="{C3380CC4-5D6E-409C-BE32-E72D297353CC}">
                  <c16:uniqueId val="{000000BC-10B2-0A4D-884B-E51A9F62333D}"/>
                </c:ext>
              </c:extLst>
            </c:dLbl>
            <c:dLbl>
              <c:idx val="2"/>
              <c:layout>
                <c:manualLayout>
                  <c:x val="-0.18076555686574367"/>
                  <c:y val="6.4499262188298448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BB-10B2-0A4D-884B-E51A9F62333D}"/>
                </c:ext>
              </c:extLst>
            </c:dLbl>
            <c:dLbl>
              <c:idx val="4"/>
              <c:layout>
                <c:manualLayout>
                  <c:x val="-0.14570080559891702"/>
                  <c:y val="-0.11213782259828969"/>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CA-10B2-0A4D-884B-E51A9F62333D}"/>
                </c:ext>
              </c:extLst>
            </c:dLbl>
            <c:dLbl>
              <c:idx val="5"/>
              <c:layout>
                <c:manualLayout>
                  <c:x val="-7.077977296069049E-2"/>
                  <c:y val="-0.14861507338038721"/>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C9-10B2-0A4D-884B-E51A9F62333D}"/>
                </c:ext>
              </c:extLst>
            </c:dLbl>
            <c:dLbl>
              <c:idx val="6"/>
              <c:layout>
                <c:manualLayout>
                  <c:x val="7.4989825082331221E-2"/>
                  <c:y val="-8.1043616324223092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CB-10B2-0A4D-884B-E51A9F62333D}"/>
                </c:ext>
              </c:extLst>
            </c:dLbl>
            <c:dLbl>
              <c:idx val="10"/>
              <c:layout>
                <c:manualLayout>
                  <c:x val="0.22483007205629707"/>
                  <c:y val="-4.5273940228266647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BE-10B2-0A4D-884B-E51A9F62333D}"/>
                </c:ext>
              </c:extLst>
            </c:dLbl>
            <c:dLbl>
              <c:idx val="11"/>
              <c:layout>
                <c:manualLayout>
                  <c:x val="9.6683007145019623E-2"/>
                  <c:y val="-9.8388680858856742E-3"/>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BF-10B2-0A4D-884B-E51A9F62333D}"/>
                </c:ext>
              </c:extLst>
            </c:dLbl>
            <c:dLbl>
              <c:idx val="12"/>
              <c:layout>
                <c:manualLayout>
                  <c:x val="0.19480224596723231"/>
                  <c:y val="7.9058385109467312E-3"/>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C0-10B2-0A4D-884B-E51A9F62333D}"/>
                </c:ext>
              </c:extLst>
            </c:dLbl>
            <c:dLbl>
              <c:idx val="13"/>
              <c:layout>
                <c:manualLayout>
                  <c:x val="0.13679680560619023"/>
                  <c:y val="1.2231728498986062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C1-10B2-0A4D-884B-E51A9F62333D}"/>
                </c:ext>
              </c:extLst>
            </c:dLbl>
            <c:dLbl>
              <c:idx val="16"/>
              <c:layout>
                <c:manualLayout>
                  <c:x val="9.8420963391206831E-2"/>
                  <c:y val="8.5139590893181433E-2"/>
                </c:manualLayout>
              </c:layout>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19397173630613665"/>
                      <c:h val="6.1532183737220941E-2"/>
                    </c:manualLayout>
                  </c15:layout>
                </c:ext>
                <c:ext xmlns:c16="http://schemas.microsoft.com/office/drawing/2014/chart" uri="{C3380CC4-5D6E-409C-BE32-E72D297353CC}">
                  <c16:uniqueId val="{000000C2-10B2-0A4D-884B-E51A9F62333D}"/>
                </c:ext>
              </c:extLst>
            </c:dLbl>
            <c:dLbl>
              <c:idx val="17"/>
              <c:layout>
                <c:manualLayout>
                  <c:x val="0.20464820241100848"/>
                  <c:y val="0.21622632348985363"/>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C3-10B2-0A4D-884B-E51A9F62333D}"/>
                </c:ext>
              </c:extLst>
            </c:dLbl>
            <c:dLbl>
              <c:idx val="18"/>
              <c:layout>
                <c:manualLayout>
                  <c:x val="7.0222539010922236E-2"/>
                  <c:y val="8.1940600238986513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C5-10B2-0A4D-884B-E51A9F62333D}"/>
                </c:ext>
              </c:extLst>
            </c:dLbl>
            <c:dLbl>
              <c:idx val="19"/>
              <c:layout>
                <c:manualLayout>
                  <c:x val="7.9892195876029345E-2"/>
                  <c:y val="9.1230067459922404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C4-10B2-0A4D-884B-E51A9F62333D}"/>
                </c:ext>
              </c:extLst>
            </c:dLbl>
            <c:dLbl>
              <c:idx val="20"/>
              <c:layout>
                <c:manualLayout>
                  <c:x val="6.9798344193144873E-2"/>
                  <c:y val="4.9541923479242148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C8-10B2-0A4D-884B-E51A9F62333D}"/>
                </c:ext>
              </c:extLst>
            </c:dLbl>
            <c:dLbl>
              <c:idx val="21"/>
              <c:layout>
                <c:manualLayout>
                  <c:x val="7.9334431588035687E-2"/>
                  <c:y val="0.1779525375844675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BD-10B2-0A4D-884B-E51A9F62333D}"/>
                </c:ext>
              </c:extLst>
            </c:dLbl>
            <c:dLbl>
              <c:idx val="22"/>
              <c:layout>
                <c:manualLayout>
                  <c:x val="1.540481019801011E-2"/>
                  <c:y val="1.141019449530864E-6"/>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C7-10B2-0A4D-884B-E51A9F62333D}"/>
                </c:ext>
              </c:extLst>
            </c:dLbl>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Portfolio!$B$12:$B$34</c:f>
              <c:strCache>
                <c:ptCount val="23"/>
                <c:pt idx="0">
                  <c:v>APPLE INC. (XNAS:AAPL)</c:v>
                </c:pt>
                <c:pt idx="1">
                  <c:v>NVIDIA CORPORATION (XNAS:NVDA)</c:v>
                </c:pt>
                <c:pt idx="2">
                  <c:v>ALPHABET INC. (XNAS:GOOGL)</c:v>
                </c:pt>
                <c:pt idx="3">
                  <c:v>SUPER MICRO COMPUTER, INC. (XNAS:SMCI)</c:v>
                </c:pt>
                <c:pt idx="4">
                  <c:v>Vanguard InfoTch Idx;ETF (ARCX:VGT)</c:v>
                </c:pt>
                <c:pt idx="5">
                  <c:v>Invesco QQQ Trust 1 (XNAS:QQQ)</c:v>
                </c:pt>
                <c:pt idx="6">
                  <c:v>SPDR S&amp;P 500 (ARCX:SPY)</c:v>
                </c:pt>
                <c:pt idx="7">
                  <c:v>AMAZON.COM, INC. (XNAS:AMZN)</c:v>
                </c:pt>
                <c:pt idx="8">
                  <c:v>MICROSOFT CORPORATION (XNAS:MSFT)</c:v>
                </c:pt>
                <c:pt idx="9">
                  <c:v>Meta Platforms, Inc. (XNAS:META)</c:v>
                </c:pt>
                <c:pt idx="10">
                  <c:v>BERKSHIRE HATHAWAY INC. (XSGO:BRKB)</c:v>
                </c:pt>
                <c:pt idx="11">
                  <c:v>BARCLAYS PLC (XNYS:BCS)</c:v>
                </c:pt>
                <c:pt idx="12">
                  <c:v>JPMORGAN CHASE &amp; CO. (XNYS:JPM)</c:v>
                </c:pt>
                <c:pt idx="13">
                  <c:v>VERIZON COMMUNICATIONS INC. (XNYS:VZ)</c:v>
                </c:pt>
                <c:pt idx="14">
                  <c:v>ROBINHOOD MARKETS, INC. (XNAS:HOOD)</c:v>
                </c:pt>
                <c:pt idx="15">
                  <c:v>SOFI TECHNOLOGIES, INC. (XNAS:SOFI)</c:v>
                </c:pt>
                <c:pt idx="16">
                  <c:v>UNITEDHEALTH GROUP INCORPORATED (XNYS:UNH)</c:v>
                </c:pt>
                <c:pt idx="17">
                  <c:v>OPENDOOR TECHNOLOGIES INC. (XNAS:OPEN)</c:v>
                </c:pt>
                <c:pt idx="18">
                  <c:v>VISTRA CORP. (XNYS:VST)</c:v>
                </c:pt>
                <c:pt idx="19">
                  <c:v>NASDAQ, INC. (XNAS:NDAQ)</c:v>
                </c:pt>
                <c:pt idx="20">
                  <c:v>BROADCOM INC. (XNAS:AVGO)</c:v>
                </c:pt>
                <c:pt idx="21">
                  <c:v>Taiwan Semiconductor Manufacturing Co., Ltd. (XNYS:TSM)</c:v>
                </c:pt>
                <c:pt idx="22">
                  <c:v>ARISTA NETWORKS, INC. (XNYS:ANET)</c:v>
                </c:pt>
              </c:strCache>
            </c:strRef>
          </c:cat>
          <c:val>
            <c:numRef>
              <c:f>Portfolio!$G$12:$G$34</c:f>
              <c:numCache>
                <c:formatCode>0.00%</c:formatCode>
                <c:ptCount val="23"/>
                <c:pt idx="0">
                  <c:v>4.1130158467164508E-2</c:v>
                </c:pt>
                <c:pt idx="1">
                  <c:v>2.6765743162479143E-2</c:v>
                </c:pt>
                <c:pt idx="2">
                  <c:v>4.6219096535971692E-2</c:v>
                </c:pt>
                <c:pt idx="3">
                  <c:v>5.0327230552563995E-3</c:v>
                </c:pt>
                <c:pt idx="4">
                  <c:v>0.11484727268423731</c:v>
                </c:pt>
                <c:pt idx="5">
                  <c:v>9.2544705729197485E-2</c:v>
                </c:pt>
                <c:pt idx="6">
                  <c:v>0.10195184444418144</c:v>
                </c:pt>
                <c:pt idx="7">
                  <c:v>3.4066298211770832E-2</c:v>
                </c:pt>
                <c:pt idx="8">
                  <c:v>7.1521770003668772E-2</c:v>
                </c:pt>
                <c:pt idx="9">
                  <c:v>9.6558161828230585E-2</c:v>
                </c:pt>
                <c:pt idx="10">
                  <c:v>7.4956803200113609E-2</c:v>
                </c:pt>
                <c:pt idx="11">
                  <c:v>3.5785294152455116E-3</c:v>
                </c:pt>
                <c:pt idx="12">
                  <c:v>4.6951371054593655E-2</c:v>
                </c:pt>
                <c:pt idx="13">
                  <c:v>5.9499153816111811E-3</c:v>
                </c:pt>
                <c:pt idx="14">
                  <c:v>1.8252127294460158E-2</c:v>
                </c:pt>
                <c:pt idx="15">
                  <c:v>4.0045800442619264E-3</c:v>
                </c:pt>
                <c:pt idx="16">
                  <c:v>4.9813898718297694E-2</c:v>
                </c:pt>
                <c:pt idx="17">
                  <c:v>1.0429364356130987E-3</c:v>
                </c:pt>
                <c:pt idx="18">
                  <c:v>2.5833757411505731E-2</c:v>
                </c:pt>
                <c:pt idx="19">
                  <c:v>1.3883629004580043E-2</c:v>
                </c:pt>
                <c:pt idx="20">
                  <c:v>6.0116039622708499E-2</c:v>
                </c:pt>
                <c:pt idx="21">
                  <c:v>4.509775494987988E-2</c:v>
                </c:pt>
                <c:pt idx="22">
                  <c:v>1.9880883344970825E-2</c:v>
                </c:pt>
              </c:numCache>
            </c:numRef>
          </c:val>
          <c:extLst>
            <c:ext xmlns:c16="http://schemas.microsoft.com/office/drawing/2014/chart" uri="{C3380CC4-5D6E-409C-BE32-E72D297353CC}">
              <c16:uniqueId val="{000000BA-10B2-0A4D-884B-E51A9F62333D}"/>
            </c:ext>
          </c:extLst>
        </c:ser>
        <c:ser>
          <c:idx val="3"/>
          <c:order val="1"/>
          <c:tx>
            <c:v>Equity Value</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9-ED9F-9048-93C5-564D9634656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A-ED9F-9048-93C5-564D9634656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B-ED9F-9048-93C5-564D9634656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C-ED9F-9048-93C5-564D9634656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D-ED9F-9048-93C5-564D96346567}"/>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E-ED9F-9048-93C5-564D96346567}"/>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F-ED9F-9048-93C5-564D96346567}"/>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0-ED9F-9048-93C5-564D96346567}"/>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1-ED9F-9048-93C5-564D96346567}"/>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2-ED9F-9048-93C5-564D96346567}"/>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3-ED9F-9048-93C5-564D96346567}"/>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4-ED9F-9048-93C5-564D96346567}"/>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5-ED9F-9048-93C5-564D96346567}"/>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6-ED9F-9048-93C5-564D96346567}"/>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7-ED9F-9048-93C5-564D96346567}"/>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8-ED9F-9048-93C5-564D96346567}"/>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9-ED9F-9048-93C5-564D96346567}"/>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A-ED9F-9048-93C5-564D96346567}"/>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B-ED9F-9048-93C5-564D96346567}"/>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C-ED9F-9048-93C5-564D96346567}"/>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D-ED9F-9048-93C5-564D96346567}"/>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E-ED9F-9048-93C5-564D96346567}"/>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F-ED9F-9048-93C5-564D96346567}"/>
              </c:ext>
            </c:extLst>
          </c:dPt>
          <c:dLbls>
            <c:dLbl>
              <c:idx val="0"/>
              <c:layout>
                <c:manualLayout>
                  <c:x val="-2.9550383971263521E-2"/>
                  <c:y val="0.23398927819356841"/>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9-ED9F-9048-93C5-564D96346567}"/>
                </c:ext>
              </c:extLst>
            </c:dLbl>
            <c:dLbl>
              <c:idx val="1"/>
              <c:layout>
                <c:manualLayout>
                  <c:x val="-0.11936975178038084"/>
                  <c:y val="0.1827942869841013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A-ED9F-9048-93C5-564D96346567}"/>
                </c:ext>
              </c:extLst>
            </c:dLbl>
            <c:dLbl>
              <c:idx val="2"/>
              <c:layout>
                <c:manualLayout>
                  <c:x val="-0.12204666792925943"/>
                  <c:y val="7.2951807465387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B-ED9F-9048-93C5-564D96346567}"/>
                </c:ext>
              </c:extLst>
            </c:dLbl>
            <c:dLbl>
              <c:idx val="4"/>
              <c:layout>
                <c:manualLayout>
                  <c:x val="-0.15391028111925198"/>
                  <c:y val="-0.16752944304880929"/>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388463908117494"/>
                      <c:h val="8.0408926234807734E-2"/>
                    </c:manualLayout>
                  </c15:layout>
                </c:ext>
                <c:ext xmlns:c16="http://schemas.microsoft.com/office/drawing/2014/chart" uri="{C3380CC4-5D6E-409C-BE32-E72D297353CC}">
                  <c16:uniqueId val="{0000004D-ED9F-9048-93C5-564D96346567}"/>
                </c:ext>
              </c:extLst>
            </c:dLbl>
            <c:dLbl>
              <c:idx val="5"/>
              <c:layout>
                <c:manualLayout>
                  <c:x val="-7.320736125577966E-2"/>
                  <c:y val="-0.1990909813632869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E-ED9F-9048-93C5-564D96346567}"/>
                </c:ext>
              </c:extLst>
            </c:dLbl>
            <c:dLbl>
              <c:idx val="6"/>
              <c:layout>
                <c:manualLayout>
                  <c:x val="8.5221982100777749E-2"/>
                  <c:y val="-0.1364265803923928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F-ED9F-9048-93C5-564D96346567}"/>
                </c:ext>
              </c:extLst>
            </c:dLbl>
            <c:dLbl>
              <c:idx val="7"/>
              <c:layout>
                <c:manualLayout>
                  <c:x val="0.14322989170976172"/>
                  <c:y val="-0.217606581188122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0-ED9F-9048-93C5-564D96346567}"/>
                </c:ext>
              </c:extLst>
            </c:dLbl>
            <c:dLbl>
              <c:idx val="8"/>
              <c:layout>
                <c:manualLayout>
                  <c:x val="9.4718608534157131E-2"/>
                  <c:y val="-6.624034093528731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1-ED9F-9048-93C5-564D96346567}"/>
                </c:ext>
              </c:extLst>
            </c:dLbl>
            <c:dLbl>
              <c:idx val="9"/>
              <c:layout>
                <c:manualLayout>
                  <c:x val="0.1474961160715374"/>
                  <c:y val="-5.09691095767305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2-ED9F-9048-93C5-564D96346567}"/>
                </c:ext>
              </c:extLst>
            </c:dLbl>
            <c:dLbl>
              <c:idx val="10"/>
              <c:layout>
                <c:manualLayout>
                  <c:x val="0.13449645507691033"/>
                  <c:y val="-7.290183170212309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3-ED9F-9048-93C5-564D96346567}"/>
                </c:ext>
              </c:extLst>
            </c:dLbl>
            <c:dLbl>
              <c:idx val="11"/>
              <c:layout>
                <c:manualLayout>
                  <c:x val="0.26648909075369642"/>
                  <c:y val="-2.6655756562216706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4-ED9F-9048-93C5-564D96346567}"/>
                </c:ext>
              </c:extLst>
            </c:dLbl>
            <c:dLbl>
              <c:idx val="12"/>
              <c:layout>
                <c:manualLayout>
                  <c:x val="0.15641068092743857"/>
                  <c:y val="2.5726979540995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5-ED9F-9048-93C5-564D96346567}"/>
                </c:ext>
              </c:extLst>
            </c:dLbl>
            <c:dLbl>
              <c:idx val="13"/>
              <c:layout>
                <c:manualLayout>
                  <c:x val="0.17981358436198919"/>
                  <c:y val="2.793912264079120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6-ED9F-9048-93C5-564D96346567}"/>
                </c:ext>
              </c:extLst>
            </c:dLbl>
            <c:dLbl>
              <c:idx val="14"/>
              <c:layout>
                <c:manualLayout>
                  <c:x val="0.22157332454244652"/>
                  <c:y val="6.169737639284557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7-ED9F-9048-93C5-564D96346567}"/>
                </c:ext>
              </c:extLst>
            </c:dLbl>
            <c:dLbl>
              <c:idx val="15"/>
              <c:layout>
                <c:manualLayout>
                  <c:x val="0.18326771913116727"/>
                  <c:y val="0.1347835071464809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8-ED9F-9048-93C5-564D96346567}"/>
                </c:ext>
              </c:extLst>
            </c:dLbl>
            <c:dLbl>
              <c:idx val="16"/>
              <c:layout>
                <c:manualLayout>
                  <c:x val="0.13047209503925369"/>
                  <c:y val="0.1391583715965368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9-ED9F-9048-93C5-564D96346567}"/>
                </c:ext>
              </c:extLst>
            </c:dLbl>
            <c:dLbl>
              <c:idx val="17"/>
              <c:layout>
                <c:manualLayout>
                  <c:x val="0.11211945838369779"/>
                  <c:y val="9.261044081641531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A-ED9F-9048-93C5-564D96346567}"/>
                </c:ext>
              </c:extLst>
            </c:dLbl>
            <c:dLbl>
              <c:idx val="19"/>
              <c:layout>
                <c:manualLayout>
                  <c:x val="6.3236951027434804E-2"/>
                  <c:y val="7.376651949967916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C-ED9F-9048-93C5-564D96346567}"/>
                </c:ext>
              </c:extLst>
            </c:dLbl>
            <c:dLbl>
              <c:idx val="20"/>
              <c:layout>
                <c:manualLayout>
                  <c:x val="4.7553227598500662E-2"/>
                  <c:y val="3.017061859396561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D-ED9F-9048-93C5-564D96346567}"/>
                </c:ext>
              </c:extLst>
            </c:dLbl>
            <c:dLbl>
              <c:idx val="21"/>
              <c:layout>
                <c:manualLayout>
                  <c:x val="0.11180225862695617"/>
                  <c:y val="0.1648754735547971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E-ED9F-9048-93C5-564D96346567}"/>
                </c:ext>
              </c:extLst>
            </c:dLbl>
            <c:dLbl>
              <c:idx val="22"/>
              <c:layout>
                <c:manualLayout>
                  <c:x val="3.3664957364643701E-3"/>
                  <c:y val="0.1249881063567141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F-ED9F-9048-93C5-564D96346567}"/>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extLst>
          </c:dLbls>
          <c:cat>
            <c:strRef>
              <c:f>Portfolio!$B$12:$B$34</c:f>
              <c:strCache>
                <c:ptCount val="23"/>
                <c:pt idx="0">
                  <c:v>APPLE INC. (XNAS:AAPL)</c:v>
                </c:pt>
                <c:pt idx="1">
                  <c:v>NVIDIA CORPORATION (XNAS:NVDA)</c:v>
                </c:pt>
                <c:pt idx="2">
                  <c:v>ALPHABET INC. (XNAS:GOOGL)</c:v>
                </c:pt>
                <c:pt idx="3">
                  <c:v>SUPER MICRO COMPUTER, INC. (XNAS:SMCI)</c:v>
                </c:pt>
                <c:pt idx="4">
                  <c:v>Vanguard InfoTch Idx;ETF (ARCX:VGT)</c:v>
                </c:pt>
                <c:pt idx="5">
                  <c:v>Invesco QQQ Trust 1 (XNAS:QQQ)</c:v>
                </c:pt>
                <c:pt idx="6">
                  <c:v>SPDR S&amp;P 500 (ARCX:SPY)</c:v>
                </c:pt>
                <c:pt idx="7">
                  <c:v>AMAZON.COM, INC. (XNAS:AMZN)</c:v>
                </c:pt>
                <c:pt idx="8">
                  <c:v>MICROSOFT CORPORATION (XNAS:MSFT)</c:v>
                </c:pt>
                <c:pt idx="9">
                  <c:v>Meta Platforms, Inc. (XNAS:META)</c:v>
                </c:pt>
                <c:pt idx="10">
                  <c:v>BERKSHIRE HATHAWAY INC. (XSGO:BRKB)</c:v>
                </c:pt>
                <c:pt idx="11">
                  <c:v>BARCLAYS PLC (XNYS:BCS)</c:v>
                </c:pt>
                <c:pt idx="12">
                  <c:v>JPMORGAN CHASE &amp; CO. (XNYS:JPM)</c:v>
                </c:pt>
                <c:pt idx="13">
                  <c:v>VERIZON COMMUNICATIONS INC. (XNYS:VZ)</c:v>
                </c:pt>
                <c:pt idx="14">
                  <c:v>ROBINHOOD MARKETS, INC. (XNAS:HOOD)</c:v>
                </c:pt>
                <c:pt idx="15">
                  <c:v>SOFI TECHNOLOGIES, INC. (XNAS:SOFI)</c:v>
                </c:pt>
                <c:pt idx="16">
                  <c:v>UNITEDHEALTH GROUP INCORPORATED (XNYS:UNH)</c:v>
                </c:pt>
                <c:pt idx="17">
                  <c:v>OPENDOOR TECHNOLOGIES INC. (XNAS:OPEN)</c:v>
                </c:pt>
                <c:pt idx="18">
                  <c:v>VISTRA CORP. (XNYS:VST)</c:v>
                </c:pt>
                <c:pt idx="19">
                  <c:v>NASDAQ, INC. (XNAS:NDAQ)</c:v>
                </c:pt>
                <c:pt idx="20">
                  <c:v>BROADCOM INC. (XNAS:AVGO)</c:v>
                </c:pt>
                <c:pt idx="21">
                  <c:v>Taiwan Semiconductor Manufacturing Co., Ltd. (XNYS:TSM)</c:v>
                </c:pt>
                <c:pt idx="22">
                  <c:v>ARISTA NETWORKS, INC. (XNYS:ANET)</c:v>
                </c:pt>
              </c:strCache>
            </c:strRef>
          </c:cat>
          <c:val>
            <c:numRef>
              <c:f>Portfolio!$F$12:$F$34</c:f>
              <c:numCache>
                <c:formatCode>"$"#,##0.00</c:formatCode>
                <c:ptCount val="23"/>
                <c:pt idx="0">
                  <c:v>278.02999999999997</c:v>
                </c:pt>
                <c:pt idx="1">
                  <c:v>180.93</c:v>
                </c:pt>
                <c:pt idx="2">
                  <c:v>312.43</c:v>
                </c:pt>
                <c:pt idx="3">
                  <c:v>34.020000000000003</c:v>
                </c:pt>
                <c:pt idx="4">
                  <c:v>776.34</c:v>
                </c:pt>
                <c:pt idx="5">
                  <c:v>625.58000000000004</c:v>
                </c:pt>
                <c:pt idx="6">
                  <c:v>689.17</c:v>
                </c:pt>
                <c:pt idx="7">
                  <c:v>230.28</c:v>
                </c:pt>
                <c:pt idx="8">
                  <c:v>483.47</c:v>
                </c:pt>
                <c:pt idx="9">
                  <c:v>652.71</c:v>
                </c:pt>
                <c:pt idx="10">
                  <c:v>506.69</c:v>
                </c:pt>
                <c:pt idx="11">
                  <c:v>24.19</c:v>
                </c:pt>
                <c:pt idx="12">
                  <c:v>317.38</c:v>
                </c:pt>
                <c:pt idx="13">
                  <c:v>40.22</c:v>
                </c:pt>
                <c:pt idx="14">
                  <c:v>123.38</c:v>
                </c:pt>
                <c:pt idx="15">
                  <c:v>27.07</c:v>
                </c:pt>
                <c:pt idx="16">
                  <c:v>336.73</c:v>
                </c:pt>
                <c:pt idx="17">
                  <c:v>7.05</c:v>
                </c:pt>
                <c:pt idx="18">
                  <c:v>174.63</c:v>
                </c:pt>
                <c:pt idx="19">
                  <c:v>93.85</c:v>
                </c:pt>
                <c:pt idx="20">
                  <c:v>406.37</c:v>
                </c:pt>
                <c:pt idx="21">
                  <c:v>304.85000000000002</c:v>
                </c:pt>
                <c:pt idx="22">
                  <c:v>134.38999999999999</c:v>
                </c:pt>
              </c:numCache>
            </c:numRef>
          </c:val>
          <c:extLst>
            <c:ext xmlns:c16="http://schemas.microsoft.com/office/drawing/2014/chart" uri="{C3380CC4-5D6E-409C-BE32-E72D297353CC}">
              <c16:uniqueId val="{00000003-ED9F-9048-93C5-564D96346567}"/>
            </c:ext>
          </c:extLst>
        </c:ser>
        <c:ser>
          <c:idx val="0"/>
          <c:order val="2"/>
          <c:tx>
            <c:v>Ticker Price</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ED9F-9048-93C5-564D9634656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D9F-9048-93C5-564D9634656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ED9F-9048-93C5-564D9634656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D9F-9048-93C5-564D9634656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ED9F-9048-93C5-564D96346567}"/>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D9F-9048-93C5-564D96346567}"/>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ED9F-9048-93C5-564D96346567}"/>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ED9F-9048-93C5-564D96346567}"/>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ED9F-9048-93C5-564D96346567}"/>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ED9F-9048-93C5-564D96346567}"/>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ED9F-9048-93C5-564D96346567}"/>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ED9F-9048-93C5-564D96346567}"/>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ED9F-9048-93C5-564D96346567}"/>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ED9F-9048-93C5-564D96346567}"/>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2-ED9F-9048-93C5-564D96346567}"/>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ED9F-9048-93C5-564D96346567}"/>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4-ED9F-9048-93C5-564D96346567}"/>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ED9F-9048-93C5-564D96346567}"/>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6-ED9F-9048-93C5-564D96346567}"/>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ED9F-9048-93C5-564D96346567}"/>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8-ED9F-9048-93C5-564D96346567}"/>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ED9F-9048-93C5-564D96346567}"/>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A-ED9F-9048-93C5-564D96346567}"/>
              </c:ext>
            </c:extLst>
          </c:dPt>
          <c:dLbls>
            <c:dLbl>
              <c:idx val="4"/>
              <c:layout>
                <c:manualLayout>
                  <c:x val="-0.16232763260448985"/>
                  <c:y val="0.1258999157447978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ED9F-9048-93C5-564D96346567}"/>
                </c:ext>
              </c:extLst>
            </c:dLbl>
            <c:dLbl>
              <c:idx val="5"/>
              <c:layout>
                <c:manualLayout>
                  <c:x val="-0.15421296650617411"/>
                  <c:y val="-1.251143146224501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ED9F-9048-93C5-564D96346567}"/>
                </c:ext>
              </c:extLst>
            </c:dLbl>
            <c:dLbl>
              <c:idx val="6"/>
              <c:layout>
                <c:manualLayout>
                  <c:x val="-0.14092326204137326"/>
                  <c:y val="-0.1339546559018182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ED9F-9048-93C5-564D96346567}"/>
                </c:ext>
              </c:extLst>
            </c:dLbl>
            <c:dLbl>
              <c:idx val="7"/>
              <c:layout>
                <c:manualLayout>
                  <c:x val="-0.11493062372106339"/>
                  <c:y val="-0.1798942252634127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ED9F-9048-93C5-564D96346567}"/>
                </c:ext>
              </c:extLst>
            </c:dLbl>
            <c:dLbl>
              <c:idx val="8"/>
              <c:layout>
                <c:manualLayout>
                  <c:x val="-2.6138607369407464E-2"/>
                  <c:y val="-0.1162555057265273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C-ED9F-9048-93C5-564D96346567}"/>
                </c:ext>
              </c:extLst>
            </c:dLbl>
            <c:dLbl>
              <c:idx val="9"/>
              <c:layout>
                <c:manualLayout>
                  <c:x val="0.11148942290316827"/>
                  <c:y val="-0.1380978649738135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ED9F-9048-93C5-564D96346567}"/>
                </c:ext>
              </c:extLst>
            </c:dLbl>
            <c:dLbl>
              <c:idx val="10"/>
              <c:layout>
                <c:manualLayout>
                  <c:x val="0.16674446478730862"/>
                  <c:y val="-6.0077325505507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ED9F-9048-93C5-564D96346567}"/>
                </c:ext>
              </c:extLst>
            </c:dLbl>
            <c:dLbl>
              <c:idx val="11"/>
              <c:layout>
                <c:manualLayout>
                  <c:x val="0.13237694984792289"/>
                  <c:y val="-3.051416633876053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ED9F-9048-93C5-564D96346567}"/>
                </c:ext>
              </c:extLst>
            </c:dLbl>
            <c:dLbl>
              <c:idx val="12"/>
              <c:layout>
                <c:manualLayout>
                  <c:x val="0.18841794139147533"/>
                  <c:y val="1.114944357585048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0-ED9F-9048-93C5-564D96346567}"/>
                </c:ext>
              </c:extLst>
            </c:dLbl>
            <c:dLbl>
              <c:idx val="13"/>
              <c:layout>
                <c:manualLayout>
                  <c:x val="0.17271094966916933"/>
                  <c:y val="4.278484244785339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ED9F-9048-93C5-564D96346567}"/>
                </c:ext>
              </c:extLst>
            </c:dLbl>
            <c:dLbl>
              <c:idx val="14"/>
              <c:layout>
                <c:manualLayout>
                  <c:x val="0.16827011455448021"/>
                  <c:y val="5.111349934752237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2-ED9F-9048-93C5-564D96346567}"/>
                </c:ext>
              </c:extLst>
            </c:dLbl>
            <c:dLbl>
              <c:idx val="21"/>
              <c:layout>
                <c:manualLayout>
                  <c:x val="7.3745210435794531E-2"/>
                  <c:y val="2.976568986881445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9-ED9F-9048-93C5-564D96346567}"/>
                </c:ext>
              </c:extLst>
            </c:dLbl>
            <c:dLbl>
              <c:idx val="22"/>
              <c:layout>
                <c:manualLayout>
                  <c:x val="1.7090154462228554E-2"/>
                  <c:y val="0.1677524496214647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A-ED9F-9048-93C5-564D96346567}"/>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Portfolio!$B$12:$B$34</c:f>
              <c:strCache>
                <c:ptCount val="23"/>
                <c:pt idx="0">
                  <c:v>APPLE INC. (XNAS:AAPL)</c:v>
                </c:pt>
                <c:pt idx="1">
                  <c:v>NVIDIA CORPORATION (XNAS:NVDA)</c:v>
                </c:pt>
                <c:pt idx="2">
                  <c:v>ALPHABET INC. (XNAS:GOOGL)</c:v>
                </c:pt>
                <c:pt idx="3">
                  <c:v>SUPER MICRO COMPUTER, INC. (XNAS:SMCI)</c:v>
                </c:pt>
                <c:pt idx="4">
                  <c:v>Vanguard InfoTch Idx;ETF (ARCX:VGT)</c:v>
                </c:pt>
                <c:pt idx="5">
                  <c:v>Invesco QQQ Trust 1 (XNAS:QQQ)</c:v>
                </c:pt>
                <c:pt idx="6">
                  <c:v>SPDR S&amp;P 500 (ARCX:SPY)</c:v>
                </c:pt>
                <c:pt idx="7">
                  <c:v>AMAZON.COM, INC. (XNAS:AMZN)</c:v>
                </c:pt>
                <c:pt idx="8">
                  <c:v>MICROSOFT CORPORATION (XNAS:MSFT)</c:v>
                </c:pt>
                <c:pt idx="9">
                  <c:v>Meta Platforms, Inc. (XNAS:META)</c:v>
                </c:pt>
                <c:pt idx="10">
                  <c:v>BERKSHIRE HATHAWAY INC. (XSGO:BRKB)</c:v>
                </c:pt>
                <c:pt idx="11">
                  <c:v>BARCLAYS PLC (XNYS:BCS)</c:v>
                </c:pt>
                <c:pt idx="12">
                  <c:v>JPMORGAN CHASE &amp; CO. (XNYS:JPM)</c:v>
                </c:pt>
                <c:pt idx="13">
                  <c:v>VERIZON COMMUNICATIONS INC. (XNYS:VZ)</c:v>
                </c:pt>
                <c:pt idx="14">
                  <c:v>ROBINHOOD MARKETS, INC. (XNAS:HOOD)</c:v>
                </c:pt>
                <c:pt idx="15">
                  <c:v>SOFI TECHNOLOGIES, INC. (XNAS:SOFI)</c:v>
                </c:pt>
                <c:pt idx="16">
                  <c:v>UNITEDHEALTH GROUP INCORPORATED (XNYS:UNH)</c:v>
                </c:pt>
                <c:pt idx="17">
                  <c:v>OPENDOOR TECHNOLOGIES INC. (XNAS:OPEN)</c:v>
                </c:pt>
                <c:pt idx="18">
                  <c:v>VISTRA CORP. (XNYS:VST)</c:v>
                </c:pt>
                <c:pt idx="19">
                  <c:v>NASDAQ, INC. (XNAS:NDAQ)</c:v>
                </c:pt>
                <c:pt idx="20">
                  <c:v>BROADCOM INC. (XNAS:AVGO)</c:v>
                </c:pt>
                <c:pt idx="21">
                  <c:v>Taiwan Semiconductor Manufacturing Co., Ltd. (XNYS:TSM)</c:v>
                </c:pt>
                <c:pt idx="22">
                  <c:v>ARISTA NETWORKS, INC. (XNYS:ANET)</c:v>
                </c:pt>
              </c:strCache>
            </c:strRef>
          </c:cat>
          <c:val>
            <c:numRef>
              <c:f>Portfolio!$C$12:$C$34</c:f>
              <c:numCache>
                <c:formatCode>[$$-409]#,##0.00</c:formatCode>
                <c:ptCount val="23"/>
                <c:pt idx="0">
                  <c:v>278.02999999999997</c:v>
                </c:pt>
                <c:pt idx="1">
                  <c:v>180.93</c:v>
                </c:pt>
                <c:pt idx="2">
                  <c:v>312.43</c:v>
                </c:pt>
                <c:pt idx="3">
                  <c:v>34.020000000000003</c:v>
                </c:pt>
                <c:pt idx="4">
                  <c:v>776.34</c:v>
                </c:pt>
                <c:pt idx="5">
                  <c:v>625.58000000000004</c:v>
                </c:pt>
                <c:pt idx="6">
                  <c:v>689.17</c:v>
                </c:pt>
                <c:pt idx="7">
                  <c:v>230.28</c:v>
                </c:pt>
                <c:pt idx="8">
                  <c:v>483.47</c:v>
                </c:pt>
                <c:pt idx="9">
                  <c:v>652.71</c:v>
                </c:pt>
                <c:pt idx="10">
                  <c:v>506.69</c:v>
                </c:pt>
                <c:pt idx="11">
                  <c:v>24.19</c:v>
                </c:pt>
                <c:pt idx="12">
                  <c:v>317.38</c:v>
                </c:pt>
                <c:pt idx="13">
                  <c:v>40.22</c:v>
                </c:pt>
                <c:pt idx="14">
                  <c:v>123.38</c:v>
                </c:pt>
                <c:pt idx="15">
                  <c:v>27.07</c:v>
                </c:pt>
                <c:pt idx="16">
                  <c:v>336.73</c:v>
                </c:pt>
                <c:pt idx="17">
                  <c:v>7.05</c:v>
                </c:pt>
                <c:pt idx="18">
                  <c:v>174.63</c:v>
                </c:pt>
                <c:pt idx="19">
                  <c:v>93.85</c:v>
                </c:pt>
                <c:pt idx="20">
                  <c:v>406.37</c:v>
                </c:pt>
                <c:pt idx="21">
                  <c:v>304.85000000000002</c:v>
                </c:pt>
                <c:pt idx="22">
                  <c:v>134.38999999999999</c:v>
                </c:pt>
              </c:numCache>
            </c:numRef>
          </c:val>
          <c:extLst>
            <c:ext xmlns:c16="http://schemas.microsoft.com/office/drawing/2014/chart" uri="{C3380CC4-5D6E-409C-BE32-E72D297353CC}">
              <c16:uniqueId val="{00000000-ED9F-9048-93C5-564D96346567}"/>
            </c:ext>
          </c:extLst>
        </c:ser>
        <c:ser>
          <c:idx val="1"/>
          <c:order val="3"/>
          <c:tx>
            <c:v>Average Price</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ED9F-9048-93C5-564D9634656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C-ED9F-9048-93C5-564D9634656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ED9F-9048-93C5-564D9634656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E-ED9F-9048-93C5-564D9634656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ED9F-9048-93C5-564D96346567}"/>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0-ED9F-9048-93C5-564D96346567}"/>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ED9F-9048-93C5-564D96346567}"/>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2-ED9F-9048-93C5-564D96346567}"/>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ED9F-9048-93C5-564D96346567}"/>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4-ED9F-9048-93C5-564D96346567}"/>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ED9F-9048-93C5-564D96346567}"/>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6-ED9F-9048-93C5-564D96346567}"/>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ED9F-9048-93C5-564D96346567}"/>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8-ED9F-9048-93C5-564D96346567}"/>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ED9F-9048-93C5-564D96346567}"/>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A-ED9F-9048-93C5-564D96346567}"/>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ED9F-9048-93C5-564D96346567}"/>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C-ED9F-9048-93C5-564D96346567}"/>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ED9F-9048-93C5-564D96346567}"/>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E-ED9F-9048-93C5-564D96346567}"/>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ED9F-9048-93C5-564D96346567}"/>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0-ED9F-9048-93C5-564D96346567}"/>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ED9F-9048-93C5-564D96346567}"/>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Portfolio!$B$12:$B$34</c:f>
              <c:strCache>
                <c:ptCount val="23"/>
                <c:pt idx="0">
                  <c:v>APPLE INC. (XNAS:AAPL)</c:v>
                </c:pt>
                <c:pt idx="1">
                  <c:v>NVIDIA CORPORATION (XNAS:NVDA)</c:v>
                </c:pt>
                <c:pt idx="2">
                  <c:v>ALPHABET INC. (XNAS:GOOGL)</c:v>
                </c:pt>
                <c:pt idx="3">
                  <c:v>SUPER MICRO COMPUTER, INC. (XNAS:SMCI)</c:v>
                </c:pt>
                <c:pt idx="4">
                  <c:v>Vanguard InfoTch Idx;ETF (ARCX:VGT)</c:v>
                </c:pt>
                <c:pt idx="5">
                  <c:v>Invesco QQQ Trust 1 (XNAS:QQQ)</c:v>
                </c:pt>
                <c:pt idx="6">
                  <c:v>SPDR S&amp;P 500 (ARCX:SPY)</c:v>
                </c:pt>
                <c:pt idx="7">
                  <c:v>AMAZON.COM, INC. (XNAS:AMZN)</c:v>
                </c:pt>
                <c:pt idx="8">
                  <c:v>MICROSOFT CORPORATION (XNAS:MSFT)</c:v>
                </c:pt>
                <c:pt idx="9">
                  <c:v>Meta Platforms, Inc. (XNAS:META)</c:v>
                </c:pt>
                <c:pt idx="10">
                  <c:v>BERKSHIRE HATHAWAY INC. (XSGO:BRKB)</c:v>
                </c:pt>
                <c:pt idx="11">
                  <c:v>BARCLAYS PLC (XNYS:BCS)</c:v>
                </c:pt>
                <c:pt idx="12">
                  <c:v>JPMORGAN CHASE &amp; CO. (XNYS:JPM)</c:v>
                </c:pt>
                <c:pt idx="13">
                  <c:v>VERIZON COMMUNICATIONS INC. (XNYS:VZ)</c:v>
                </c:pt>
                <c:pt idx="14">
                  <c:v>ROBINHOOD MARKETS, INC. (XNAS:HOOD)</c:v>
                </c:pt>
                <c:pt idx="15">
                  <c:v>SOFI TECHNOLOGIES, INC. (XNAS:SOFI)</c:v>
                </c:pt>
                <c:pt idx="16">
                  <c:v>UNITEDHEALTH GROUP INCORPORATED (XNYS:UNH)</c:v>
                </c:pt>
                <c:pt idx="17">
                  <c:v>OPENDOOR TECHNOLOGIES INC. (XNAS:OPEN)</c:v>
                </c:pt>
                <c:pt idx="18">
                  <c:v>VISTRA CORP. (XNYS:VST)</c:v>
                </c:pt>
                <c:pt idx="19">
                  <c:v>NASDAQ, INC. (XNAS:NDAQ)</c:v>
                </c:pt>
                <c:pt idx="20">
                  <c:v>BROADCOM INC. (XNAS:AVGO)</c:v>
                </c:pt>
                <c:pt idx="21">
                  <c:v>Taiwan Semiconductor Manufacturing Co., Ltd. (XNYS:TSM)</c:v>
                </c:pt>
                <c:pt idx="22">
                  <c:v>ARISTA NETWORKS, INC. (XNYS:ANET)</c:v>
                </c:pt>
              </c:strCache>
            </c:strRef>
          </c:cat>
          <c:val>
            <c:numRef>
              <c:f>Portfolio!$D$12:$D$34</c:f>
              <c:numCache>
                <c:formatCode>"$"#,##0.00_);\("$"#,##0.00\)</c:formatCode>
                <c:ptCount val="23"/>
                <c:pt idx="0">
                  <c:v>278.02999999999997</c:v>
                </c:pt>
                <c:pt idx="1">
                  <c:v>180.93</c:v>
                </c:pt>
                <c:pt idx="2">
                  <c:v>312.43</c:v>
                </c:pt>
                <c:pt idx="3">
                  <c:v>34.020000000000003</c:v>
                </c:pt>
                <c:pt idx="4">
                  <c:v>776.34</c:v>
                </c:pt>
                <c:pt idx="5">
                  <c:v>625.58000000000004</c:v>
                </c:pt>
                <c:pt idx="6">
                  <c:v>689.17</c:v>
                </c:pt>
                <c:pt idx="7">
                  <c:v>230.28</c:v>
                </c:pt>
                <c:pt idx="8">
                  <c:v>483.47</c:v>
                </c:pt>
                <c:pt idx="9">
                  <c:v>652.71</c:v>
                </c:pt>
                <c:pt idx="10">
                  <c:v>506.69</c:v>
                </c:pt>
                <c:pt idx="11">
                  <c:v>24.19</c:v>
                </c:pt>
                <c:pt idx="12">
                  <c:v>317.38</c:v>
                </c:pt>
                <c:pt idx="13">
                  <c:v>40.22</c:v>
                </c:pt>
                <c:pt idx="14">
                  <c:v>123.38</c:v>
                </c:pt>
                <c:pt idx="15">
                  <c:v>27.07</c:v>
                </c:pt>
                <c:pt idx="16">
                  <c:v>336.73</c:v>
                </c:pt>
                <c:pt idx="17">
                  <c:v>7.05</c:v>
                </c:pt>
                <c:pt idx="18">
                  <c:v>174.63</c:v>
                </c:pt>
                <c:pt idx="19">
                  <c:v>93.85</c:v>
                </c:pt>
                <c:pt idx="20">
                  <c:v>406.37</c:v>
                </c:pt>
                <c:pt idx="21">
                  <c:v>304.85000000000002</c:v>
                </c:pt>
                <c:pt idx="22">
                  <c:v>134.38999999999999</c:v>
                </c:pt>
              </c:numCache>
            </c:numRef>
          </c:val>
          <c:extLst>
            <c:ext xmlns:c16="http://schemas.microsoft.com/office/drawing/2014/chart" uri="{C3380CC4-5D6E-409C-BE32-E72D297353CC}">
              <c16:uniqueId val="{00000001-ED9F-9048-93C5-564D9634656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l"/>
      <c:layout>
        <c:manualLayout>
          <c:xMode val="edge"/>
          <c:yMode val="edge"/>
          <c:x val="6.0526513949216822E-3"/>
          <c:y val="0.11494132377957612"/>
          <c:w val="0.22946379863130648"/>
          <c:h val="0.7646289054783631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Portfolio</a:t>
            </a:r>
            <a:r>
              <a:rPr lang="en-US" sz="1800" b="1" baseline="0"/>
              <a:t> Overview</a:t>
            </a:r>
          </a:p>
        </c:rich>
      </c:tx>
      <c:layout>
        <c:manualLayout>
          <c:xMode val="edge"/>
          <c:yMode val="edge"/>
          <c:x val="9.759512106802504E-3"/>
          <c:y val="2.5122851876060975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1122595155404623"/>
          <c:y val="0"/>
          <c:w val="0.36403929950017622"/>
          <c:h val="1"/>
        </c:manualLayout>
      </c:layout>
      <c:pieChart>
        <c:varyColors val="1"/>
        <c:ser>
          <c:idx val="2"/>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4-C258-2B4B-8D53-A4BC1312282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CEE-8442-B10B-332F05F3C35C}"/>
              </c:ext>
            </c:extLst>
          </c:dPt>
          <c:dLbls>
            <c:dLbl>
              <c:idx val="0"/>
              <c:layout>
                <c:manualLayout>
                  <c:x val="-0.18903648126048569"/>
                  <c:y val="-1.6352281080157998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17137090486801843"/>
                      <c:h val="0.16951527370525332"/>
                    </c:manualLayout>
                  </c15:layout>
                </c:ext>
                <c:ext xmlns:c16="http://schemas.microsoft.com/office/drawing/2014/chart" uri="{C3380CC4-5D6E-409C-BE32-E72D297353CC}">
                  <c16:uniqueId val="{00000004-C258-2B4B-8D53-A4BC13122828}"/>
                </c:ext>
              </c:extLst>
            </c:dLbl>
            <c:dLbl>
              <c:idx val="1"/>
              <c:layout>
                <c:manualLayout>
                  <c:x val="0.1201229592694997"/>
                  <c:y val="-0.15753146486594785"/>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ECEE-8442-B10B-332F05F3C35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Portfolio!$B$89:$B$90</c:f>
              <c:strCache>
                <c:ptCount val="2"/>
                <c:pt idx="0">
                  <c:v>JPMorgan:Eqty Prem Inc (ARCX:JEPI)</c:v>
                </c:pt>
                <c:pt idx="1">
                  <c:v>Cash</c:v>
                </c:pt>
              </c:strCache>
            </c:strRef>
          </c:cat>
          <c:val>
            <c:numRef>
              <c:f>Portfolio!$G$89:$G$90</c:f>
              <c:numCache>
                <c:formatCode>0.00%</c:formatCode>
                <c:ptCount val="2"/>
                <c:pt idx="0">
                  <c:v>0.16807724747695083</c:v>
                </c:pt>
                <c:pt idx="1">
                  <c:v>0.38681906756245821</c:v>
                </c:pt>
              </c:numCache>
            </c:numRef>
          </c:val>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3-C258-2B4B-8D53-A4BC13122828}"/>
            </c:ext>
          </c:extLst>
        </c:ser>
        <c:ser>
          <c:idx val="0"/>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2-C258-2B4B-8D53-A4BC1312282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ECEE-8442-B10B-332F05F3C35C}"/>
              </c:ext>
            </c:extLst>
          </c:dPt>
          <c:cat>
            <c:strRef>
              <c:f>Portfolio!$B$89:$B$90</c:f>
              <c:strCache>
                <c:ptCount val="2"/>
                <c:pt idx="0">
                  <c:v>JPMorgan:Eqty Prem Inc (ARCX:JEPI)</c:v>
                </c:pt>
                <c:pt idx="1">
                  <c:v>Cash</c:v>
                </c:pt>
              </c:strCache>
            </c:strRef>
          </c:cat>
          <c:val>
            <c:numRef>
              <c:f>Portfolio!$F$89:$G$89</c:f>
              <c:numCache>
                <c:formatCode>0.00%</c:formatCode>
                <c:ptCount val="2"/>
                <c:pt idx="0" formatCode="_(&quot;$&quot;* #,##0.00_);_(&quot;$&quot;* \(#,##0.00\);_(&quot;$&quot;* &quot;-&quot;??_);_(@_)">
                  <c:v>57.79</c:v>
                </c:pt>
                <c:pt idx="1">
                  <c:v>0.16807724747695083</c:v>
                </c:pt>
              </c:numCache>
            </c:numRef>
          </c:val>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C258-2B4B-8D53-A4BC13122828}"/>
            </c:ext>
          </c:extLst>
        </c:ser>
        <c:dLbls>
          <c:showLegendKey val="0"/>
          <c:showVal val="0"/>
          <c:showCatName val="0"/>
          <c:showSerName val="0"/>
          <c:showPercent val="0"/>
          <c:showBubbleSize val="0"/>
          <c:showLeaderLines val="1"/>
        </c:dLbls>
        <c:firstSliceAng val="0"/>
      </c:pieChart>
      <c:spPr>
        <a:noFill/>
        <a:ln>
          <a:noFill/>
        </a:ln>
        <a:effectLst/>
      </c:spPr>
    </c:plotArea>
    <c:legend>
      <c:legendPos val="l"/>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1.4357951089963053E-2"/>
          <c:y val="0.13537381945888152"/>
          <c:w val="0.11241617620744698"/>
          <c:h val="0.687635038311900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Portfolio</a:t>
            </a:r>
            <a:r>
              <a:rPr lang="en-US" baseline="0"/>
              <a:t> Overview</a:t>
            </a:r>
          </a:p>
        </c:rich>
      </c:tx>
      <c:layout>
        <c:manualLayout>
          <c:xMode val="edge"/>
          <c:yMode val="edge"/>
          <c:x val="1.1381208693831475E-2"/>
          <c:y val="1.676428802586919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29267115109414454"/>
          <c:y val="0"/>
          <c:w val="0.6217664899579699"/>
          <c:h val="1"/>
        </c:manualLayout>
      </c:layout>
      <c:pieChart>
        <c:varyColors val="1"/>
        <c:ser>
          <c:idx val="4"/>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2C3-0348-BCDD-AD071262FF3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2C3-0348-BCDD-AD071262FF3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2C3-0348-BCDD-AD071262FF3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2C3-0348-BCDD-AD071262FF3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2C3-0348-BCDD-AD071262FF3D}"/>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92C3-0348-BCDD-AD071262FF3D}"/>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92C3-0348-BCDD-AD071262FF3D}"/>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92C3-0348-BCDD-AD071262FF3D}"/>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92C3-0348-BCDD-AD071262FF3D}"/>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92C3-0348-BCDD-AD071262FF3D}"/>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92C3-0348-BCDD-AD071262FF3D}"/>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92C3-0348-BCDD-AD071262FF3D}"/>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92C3-0348-BCDD-AD071262FF3D}"/>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92C3-0348-BCDD-AD071262FF3D}"/>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92C3-0348-BCDD-AD071262FF3D}"/>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92C3-0348-BCDD-AD071262FF3D}"/>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92C3-0348-BCDD-AD071262FF3D}"/>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92C3-0348-BCDD-AD071262FF3D}"/>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92C3-0348-BCDD-AD071262FF3D}"/>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92C3-0348-BCDD-AD071262FF3D}"/>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92C3-0348-BCDD-AD071262FF3D}"/>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92C3-0348-BCDD-AD071262FF3D}"/>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92C3-0348-BCDD-AD071262FF3D}"/>
              </c:ext>
            </c:extLst>
          </c:dPt>
          <c:dPt>
            <c:idx val="23"/>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0474-2941-B3A3-F53E8645F64B}"/>
              </c:ext>
            </c:extLst>
          </c:dPt>
          <c:dPt>
            <c:idx val="24"/>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0474-2941-B3A3-F53E8645F64B}"/>
              </c:ext>
            </c:extLst>
          </c:dPt>
          <c:dPt>
            <c:idx val="25"/>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0474-2941-B3A3-F53E8645F64B}"/>
              </c:ext>
            </c:extLst>
          </c:dPt>
          <c:dPt>
            <c:idx val="26"/>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0474-2941-B3A3-F53E8645F64B}"/>
              </c:ext>
            </c:extLst>
          </c:dPt>
          <c:dPt>
            <c:idx val="27"/>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0474-2941-B3A3-F53E8645F64B}"/>
              </c:ext>
            </c:extLst>
          </c:dPt>
          <c:dPt>
            <c:idx val="28"/>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0474-2941-B3A3-F53E8645F64B}"/>
              </c:ext>
            </c:extLst>
          </c:dPt>
          <c:dPt>
            <c:idx val="29"/>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0474-2941-B3A3-F53E8645F64B}"/>
              </c:ext>
            </c:extLst>
          </c:dPt>
          <c:dPt>
            <c:idx val="30"/>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0474-2941-B3A3-F53E8645F64B}"/>
              </c:ext>
            </c:extLst>
          </c:dPt>
          <c:dPt>
            <c:idx val="31"/>
            <c:bubble3D val="0"/>
            <c:spPr>
              <a:solidFill>
                <a:schemeClr val="accent2">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F-0474-2941-B3A3-F53E8645F64B}"/>
              </c:ext>
            </c:extLst>
          </c:dPt>
          <c:dPt>
            <c:idx val="32"/>
            <c:bubble3D val="0"/>
            <c:spPr>
              <a:solidFill>
                <a:schemeClr val="accent3">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1-0474-2941-B3A3-F53E8645F64B}"/>
              </c:ext>
            </c:extLst>
          </c:dPt>
          <c:dPt>
            <c:idx val="33"/>
            <c:bubble3D val="0"/>
            <c:spPr>
              <a:solidFill>
                <a:schemeClr val="accent4">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3-0474-2941-B3A3-F53E8645F64B}"/>
              </c:ext>
            </c:extLst>
          </c:dPt>
          <c:dPt>
            <c:idx val="34"/>
            <c:bubble3D val="0"/>
            <c:spPr>
              <a:solidFill>
                <a:schemeClr val="accent5">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5-0474-2941-B3A3-F53E8645F64B}"/>
              </c:ext>
            </c:extLst>
          </c:dPt>
          <c:dLbls>
            <c:dLbl>
              <c:idx val="0"/>
              <c:layout>
                <c:manualLayout>
                  <c:x val="-1.9445078324894966E-2"/>
                  <c:y val="7.4508427427026819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92C3-0348-BCDD-AD071262FF3D}"/>
                </c:ext>
              </c:extLst>
            </c:dLbl>
            <c:dLbl>
              <c:idx val="1"/>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eparator>
</c:separator>
              <c:extLst>
                <c:ext xmlns:c15="http://schemas.microsoft.com/office/drawing/2012/chart" uri="{CE6537A1-D6FC-4f65-9D91-7224C49458BB}">
                  <c15:layout>
                    <c:manualLayout>
                      <c:w val="0.20018311423420707"/>
                      <c:h val="5.8262408982827432E-2"/>
                    </c:manualLayout>
                  </c15:layout>
                </c:ext>
                <c:ext xmlns:c16="http://schemas.microsoft.com/office/drawing/2014/chart" uri="{C3380CC4-5D6E-409C-BE32-E72D297353CC}">
                  <c16:uniqueId val="{00000003-92C3-0348-BCDD-AD071262FF3D}"/>
                </c:ext>
              </c:extLst>
            </c:dLbl>
            <c:dLbl>
              <c:idx val="2"/>
              <c:layout>
                <c:manualLayout>
                  <c:x val="-0.18076555686574367"/>
                  <c:y val="6.4499262188298448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92C3-0348-BCDD-AD071262FF3D}"/>
                </c:ext>
              </c:extLst>
            </c:dLbl>
            <c:dLbl>
              <c:idx val="4"/>
              <c:layout>
                <c:manualLayout>
                  <c:x val="-0.14570080559891702"/>
                  <c:y val="-0.11213782259828969"/>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92C3-0348-BCDD-AD071262FF3D}"/>
                </c:ext>
              </c:extLst>
            </c:dLbl>
            <c:dLbl>
              <c:idx val="5"/>
              <c:layout>
                <c:manualLayout>
                  <c:x val="-7.077977296069049E-2"/>
                  <c:y val="-0.14861507338038721"/>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92C3-0348-BCDD-AD071262FF3D}"/>
                </c:ext>
              </c:extLst>
            </c:dLbl>
            <c:dLbl>
              <c:idx val="6"/>
              <c:layout>
                <c:manualLayout>
                  <c:x val="7.4989825082331221E-2"/>
                  <c:y val="-8.1043616324223092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92C3-0348-BCDD-AD071262FF3D}"/>
                </c:ext>
              </c:extLst>
            </c:dLbl>
            <c:dLbl>
              <c:idx val="10"/>
              <c:layout>
                <c:manualLayout>
                  <c:x val="0.22483007205629707"/>
                  <c:y val="-4.5273940228266647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5-92C3-0348-BCDD-AD071262FF3D}"/>
                </c:ext>
              </c:extLst>
            </c:dLbl>
            <c:dLbl>
              <c:idx val="11"/>
              <c:layout>
                <c:manualLayout>
                  <c:x val="9.6683007145019623E-2"/>
                  <c:y val="-9.8388680858856742E-3"/>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7-92C3-0348-BCDD-AD071262FF3D}"/>
                </c:ext>
              </c:extLst>
            </c:dLbl>
            <c:dLbl>
              <c:idx val="12"/>
              <c:layout>
                <c:manualLayout>
                  <c:x val="0.19480224596723231"/>
                  <c:y val="7.9058385109467312E-3"/>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9-92C3-0348-BCDD-AD071262FF3D}"/>
                </c:ext>
              </c:extLst>
            </c:dLbl>
            <c:dLbl>
              <c:idx val="13"/>
              <c:layout>
                <c:manualLayout>
                  <c:x val="0.13679680560619023"/>
                  <c:y val="1.2231728498986062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B-92C3-0348-BCDD-AD071262FF3D}"/>
                </c:ext>
              </c:extLst>
            </c:dLbl>
            <c:dLbl>
              <c:idx val="16"/>
              <c:layout>
                <c:manualLayout>
                  <c:x val="9.8420963391206831E-2"/>
                  <c:y val="8.5139590893181433E-2"/>
                </c:manualLayout>
              </c:layout>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19397173630613665"/>
                      <c:h val="6.1532183737220941E-2"/>
                    </c:manualLayout>
                  </c15:layout>
                </c:ext>
                <c:ext xmlns:c16="http://schemas.microsoft.com/office/drawing/2014/chart" uri="{C3380CC4-5D6E-409C-BE32-E72D297353CC}">
                  <c16:uniqueId val="{00000021-92C3-0348-BCDD-AD071262FF3D}"/>
                </c:ext>
              </c:extLst>
            </c:dLbl>
            <c:dLbl>
              <c:idx val="17"/>
              <c:layout>
                <c:manualLayout>
                  <c:x val="0.20464820241100848"/>
                  <c:y val="0.21622632348985363"/>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3-92C3-0348-BCDD-AD071262FF3D}"/>
                </c:ext>
              </c:extLst>
            </c:dLbl>
            <c:dLbl>
              <c:idx val="18"/>
              <c:layout>
                <c:manualLayout>
                  <c:x val="7.0222539010922236E-2"/>
                  <c:y val="8.1940600238986513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5-92C3-0348-BCDD-AD071262FF3D}"/>
                </c:ext>
              </c:extLst>
            </c:dLbl>
            <c:dLbl>
              <c:idx val="19"/>
              <c:layout>
                <c:manualLayout>
                  <c:x val="7.9892195876029345E-2"/>
                  <c:y val="9.1230067459922404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7-92C3-0348-BCDD-AD071262FF3D}"/>
                </c:ext>
              </c:extLst>
            </c:dLbl>
            <c:dLbl>
              <c:idx val="20"/>
              <c:layout>
                <c:manualLayout>
                  <c:x val="6.9798344193144873E-2"/>
                  <c:y val="4.9541923479242148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9-92C3-0348-BCDD-AD071262FF3D}"/>
                </c:ext>
              </c:extLst>
            </c:dLbl>
            <c:dLbl>
              <c:idx val="21"/>
              <c:layout>
                <c:manualLayout>
                  <c:x val="7.9334431588035687E-2"/>
                  <c:y val="0.1779525375844675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B-92C3-0348-BCDD-AD071262FF3D}"/>
                </c:ext>
              </c:extLst>
            </c:dLbl>
            <c:dLbl>
              <c:idx val="22"/>
              <c:layout>
                <c:manualLayout>
                  <c:x val="1.540481019801011E-2"/>
                  <c:y val="1.141019449530864E-6"/>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D-92C3-0348-BCDD-AD071262FF3D}"/>
                </c:ext>
              </c:extLst>
            </c:dLbl>
            <c:numFmt formatCode="0.00%" sourceLinked="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 Dec.11.2025 Q4'!$B$12:$B$46</c:f>
              <c:strCache>
                <c:ptCount val="35"/>
                <c:pt idx="0">
                  <c:v>APPLE INC. (XNAS:AAPL)</c:v>
                </c:pt>
                <c:pt idx="1">
                  <c:v>NVIDIA CORPORATION (XNAS:NVDA)</c:v>
                </c:pt>
                <c:pt idx="2">
                  <c:v>ALPHABET INC. (XNAS:GOOGL)</c:v>
                </c:pt>
                <c:pt idx="3">
                  <c:v>SUPER MICRO COMPUTER, INC. (XNAS:SMCI)</c:v>
                </c:pt>
                <c:pt idx="4">
                  <c:v>Vanguard InfoTch Idx;ETF (ARCX:VGT)</c:v>
                </c:pt>
                <c:pt idx="5">
                  <c:v>Invesco QQQ Trust 1 (XNAS:QQQ)</c:v>
                </c:pt>
                <c:pt idx="6">
                  <c:v>SPDR S&amp;P 500 (ARCX:SPY)</c:v>
                </c:pt>
                <c:pt idx="7">
                  <c:v>AMAZON.COM, INC. (XNAS:AMZN)</c:v>
                </c:pt>
                <c:pt idx="8">
                  <c:v>MICROSOFT CORPORATION (XNAS:MSFT)</c:v>
                </c:pt>
                <c:pt idx="9">
                  <c:v>Meta Platforms, Inc. (XNAS:META)</c:v>
                </c:pt>
                <c:pt idx="10">
                  <c:v>IREN LIMITED (XNAS:IREN)</c:v>
                </c:pt>
                <c:pt idx="11">
                  <c:v>BARCLAYS PLC (XNYS:BCS)</c:v>
                </c:pt>
                <c:pt idx="12">
                  <c:v>JPMORGAN CHASE &amp; CO. (XNYS:JPM)</c:v>
                </c:pt>
                <c:pt idx="13">
                  <c:v>VERIZON COMMUNICATIONS INC. (XNYS:VZ)</c:v>
                </c:pt>
                <c:pt idx="14">
                  <c:v>ROBINHOOD MARKETS, INC. (XNAS:HOOD)</c:v>
                </c:pt>
                <c:pt idx="15">
                  <c:v>SOFI TECHNOLOGIES, INC. (XNAS:SOFI)</c:v>
                </c:pt>
                <c:pt idx="16">
                  <c:v>UNITEDHEALTH GROUP INCORPORATED (XNYS:UNH)</c:v>
                </c:pt>
                <c:pt idx="17">
                  <c:v>COREWEAVE, INC. (XNAS:CRWV)</c:v>
                </c:pt>
                <c:pt idx="18">
                  <c:v>VISTRA CORP. (XNYS:VST)</c:v>
                </c:pt>
                <c:pt idx="19">
                  <c:v>NASDAQ, INC. (XNAS:NDAQ)</c:v>
                </c:pt>
                <c:pt idx="20">
                  <c:v>BROADCOM INC. (XNAS:AVGO)</c:v>
                </c:pt>
                <c:pt idx="21">
                  <c:v>Taiwan Semiconductor Manufacturing Co., Ltd. (XNYS:TSM)</c:v>
                </c:pt>
                <c:pt idx="22">
                  <c:v>ARISTA NETWORKS, INC. (XNYS:ANET)</c:v>
                </c:pt>
                <c:pt idx="23">
                  <c:v>APPLOVIN CORPORATION (XNAS:APP)</c:v>
                </c:pt>
                <c:pt idx="24">
                  <c:v>IShares:Gold Trust (ARCX:IAU)</c:v>
                </c:pt>
                <c:pt idx="25">
                  <c:v>COMFORT SYSTEMS USA, INC. (XNYS:FIX)</c:v>
                </c:pt>
                <c:pt idx="26">
                  <c:v>AMERICAN EXPRESS COMPANY (XNYS:AXP)</c:v>
                </c:pt>
                <c:pt idx="27">
                  <c:v>CELESTICA INC. (XNYS:CLS)</c:v>
                </c:pt>
                <c:pt idx="28">
                  <c:v>ENOVA INTERNATIONAL, INC. (XNYS:ENVA)</c:v>
                </c:pt>
                <c:pt idx="29">
                  <c:v>Sterling Infrastructure, Inc. (XNAS:STRL)</c:v>
                </c:pt>
                <c:pt idx="30">
                  <c:v>Deutsche Bank AG (XFRA:DBK)</c:v>
                </c:pt>
                <c:pt idx="31">
                  <c:v>HESS MIDSTREAM LP (XNYS:HESM)</c:v>
                </c:pt>
                <c:pt idx="32">
                  <c:v>Nebius Group NV (XNAS:NBIS)</c:v>
                </c:pt>
                <c:pt idx="33">
                  <c:v>ENERGY FUELS INCORPORATED (XNYS:UUUU)</c:v>
                </c:pt>
                <c:pt idx="34">
                  <c:v>ORACLE CORPORATION (XNYS:ORCL)</c:v>
                </c:pt>
              </c:strCache>
            </c:strRef>
          </c:cat>
          <c:val>
            <c:numRef>
              <c:f>'Portfolio Dec.11.2025 Q4'!$G$12:$G$46</c:f>
              <c:numCache>
                <c:formatCode>0.00%</c:formatCode>
                <c:ptCount val="35"/>
                <c:pt idx="0">
                  <c:v>2.8339350548480541E-2</c:v>
                </c:pt>
                <c:pt idx="1">
                  <c:v>1.8442033934239415E-2</c:v>
                </c:pt>
                <c:pt idx="2">
                  <c:v>3.1845711944257012E-2</c:v>
                </c:pt>
                <c:pt idx="3">
                  <c:v>3.4676283338463767E-3</c:v>
                </c:pt>
                <c:pt idx="4">
                  <c:v>7.9131645523171548E-2</c:v>
                </c:pt>
                <c:pt idx="5">
                  <c:v>6.3764812847960511E-2</c:v>
                </c:pt>
                <c:pt idx="6">
                  <c:v>7.0246484974629847E-2</c:v>
                </c:pt>
                <c:pt idx="7">
                  <c:v>2.3472235529633852E-2</c:v>
                </c:pt>
                <c:pt idx="8">
                  <c:v>4.9279666977210694E-2</c:v>
                </c:pt>
                <c:pt idx="9">
                  <c:v>6.653014961154817E-2</c:v>
                </c:pt>
                <c:pt idx="10">
                  <c:v>4.4787651084423801E-3</c:v>
                </c:pt>
                <c:pt idx="11">
                  <c:v>2.465665179181183E-3</c:v>
                </c:pt>
                <c:pt idx="12">
                  <c:v>3.2350261040451585E-2</c:v>
                </c:pt>
                <c:pt idx="13">
                  <c:v>4.0995888179688788E-3</c:v>
                </c:pt>
                <c:pt idx="14">
                  <c:v>1.2576013634037798E-2</c:v>
                </c:pt>
                <c:pt idx="15">
                  <c:v>2.7592210169671196E-3</c:v>
                </c:pt>
                <c:pt idx="16">
                  <c:v>3.4322589325575852E-2</c:v>
                </c:pt>
                <c:pt idx="17">
                  <c:v>8.9065656617135919E-3</c:v>
                </c:pt>
                <c:pt idx="18">
                  <c:v>1.7799880539082678E-2</c:v>
                </c:pt>
                <c:pt idx="19">
                  <c:v>9.5660470056285248E-3</c:v>
                </c:pt>
                <c:pt idx="20">
                  <c:v>4.1420932569816347E-2</c:v>
                </c:pt>
                <c:pt idx="21">
                  <c:v>3.107308928786208E-2</c:v>
                </c:pt>
                <c:pt idx="22">
                  <c:v>1.3698253138906952E-2</c:v>
                </c:pt>
                <c:pt idx="23">
                  <c:v>7.3081133533250298E-2</c:v>
                </c:pt>
                <c:pt idx="24">
                  <c:v>8.2093705469719926E-3</c:v>
                </c:pt>
                <c:pt idx="25">
                  <c:v>0.10446918377207021</c:v>
                </c:pt>
                <c:pt idx="26">
                  <c:v>3.9231495279662902E-2</c:v>
                </c:pt>
                <c:pt idx="27">
                  <c:v>3.581890866540139E-2</c:v>
                </c:pt>
                <c:pt idx="28">
                  <c:v>1.6096645105262191E-2</c:v>
                </c:pt>
                <c:pt idx="29">
                  <c:v>3.470788136266989E-2</c:v>
                </c:pt>
                <c:pt idx="30">
                  <c:v>3.3463326925389928E-3</c:v>
                </c:pt>
                <c:pt idx="31">
                  <c:v>3.5114578512935829E-3</c:v>
                </c:pt>
                <c:pt idx="32">
                  <c:v>9.6098765230757319E-3</c:v>
                </c:pt>
                <c:pt idx="33">
                  <c:v>1.6125185256158049E-3</c:v>
                </c:pt>
                <c:pt idx="34">
                  <c:v>2.0268603591574133E-2</c:v>
                </c:pt>
              </c:numCache>
            </c:numRef>
          </c:val>
          <c:extLst>
            <c:ext xmlns:c16="http://schemas.microsoft.com/office/drawing/2014/chart" uri="{C3380CC4-5D6E-409C-BE32-E72D297353CC}">
              <c16:uniqueId val="{0000002E-92C3-0348-BCDD-AD071262FF3D}"/>
            </c:ext>
          </c:extLst>
        </c:ser>
        <c:ser>
          <c:idx val="3"/>
          <c:order val="1"/>
          <c:tx>
            <c:v>Equity Value</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0-92C3-0348-BCDD-AD071262FF3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2-92C3-0348-BCDD-AD071262FF3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4-92C3-0348-BCDD-AD071262FF3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6-92C3-0348-BCDD-AD071262FF3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8-92C3-0348-BCDD-AD071262FF3D}"/>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A-92C3-0348-BCDD-AD071262FF3D}"/>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C-92C3-0348-BCDD-AD071262FF3D}"/>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E-92C3-0348-BCDD-AD071262FF3D}"/>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0-92C3-0348-BCDD-AD071262FF3D}"/>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2-92C3-0348-BCDD-AD071262FF3D}"/>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4-92C3-0348-BCDD-AD071262FF3D}"/>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6-92C3-0348-BCDD-AD071262FF3D}"/>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8-92C3-0348-BCDD-AD071262FF3D}"/>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A-92C3-0348-BCDD-AD071262FF3D}"/>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C-92C3-0348-BCDD-AD071262FF3D}"/>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E-92C3-0348-BCDD-AD071262FF3D}"/>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0-92C3-0348-BCDD-AD071262FF3D}"/>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2-92C3-0348-BCDD-AD071262FF3D}"/>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4-92C3-0348-BCDD-AD071262FF3D}"/>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6-92C3-0348-BCDD-AD071262FF3D}"/>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8-92C3-0348-BCDD-AD071262FF3D}"/>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A-92C3-0348-BCDD-AD071262FF3D}"/>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C-92C3-0348-BCDD-AD071262FF3D}"/>
              </c:ext>
            </c:extLst>
          </c:dPt>
          <c:dLbls>
            <c:dLbl>
              <c:idx val="0"/>
              <c:layout>
                <c:manualLayout>
                  <c:x val="-2.9550383971263521E-2"/>
                  <c:y val="0.23398927819356841"/>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0-92C3-0348-BCDD-AD071262FF3D}"/>
                </c:ext>
              </c:extLst>
            </c:dLbl>
            <c:dLbl>
              <c:idx val="1"/>
              <c:layout>
                <c:manualLayout>
                  <c:x val="-0.11936975178038084"/>
                  <c:y val="0.1827942869841013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2-92C3-0348-BCDD-AD071262FF3D}"/>
                </c:ext>
              </c:extLst>
            </c:dLbl>
            <c:dLbl>
              <c:idx val="2"/>
              <c:layout>
                <c:manualLayout>
                  <c:x val="-0.12204666792925943"/>
                  <c:y val="7.2951807465387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4-92C3-0348-BCDD-AD071262FF3D}"/>
                </c:ext>
              </c:extLst>
            </c:dLbl>
            <c:dLbl>
              <c:idx val="4"/>
              <c:layout>
                <c:manualLayout>
                  <c:x val="-0.15391028111925198"/>
                  <c:y val="-0.16752944304880929"/>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388463908117494"/>
                      <c:h val="8.0408926234807734E-2"/>
                    </c:manualLayout>
                  </c15:layout>
                </c:ext>
                <c:ext xmlns:c16="http://schemas.microsoft.com/office/drawing/2014/chart" uri="{C3380CC4-5D6E-409C-BE32-E72D297353CC}">
                  <c16:uniqueId val="{00000038-92C3-0348-BCDD-AD071262FF3D}"/>
                </c:ext>
              </c:extLst>
            </c:dLbl>
            <c:dLbl>
              <c:idx val="5"/>
              <c:layout>
                <c:manualLayout>
                  <c:x val="-7.320736125577966E-2"/>
                  <c:y val="-0.1990909813632869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A-92C3-0348-BCDD-AD071262FF3D}"/>
                </c:ext>
              </c:extLst>
            </c:dLbl>
            <c:dLbl>
              <c:idx val="6"/>
              <c:layout>
                <c:manualLayout>
                  <c:x val="8.5221982100777749E-2"/>
                  <c:y val="-0.1364265803923928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C-92C3-0348-BCDD-AD071262FF3D}"/>
                </c:ext>
              </c:extLst>
            </c:dLbl>
            <c:dLbl>
              <c:idx val="7"/>
              <c:layout>
                <c:manualLayout>
                  <c:x val="0.14322989170976172"/>
                  <c:y val="-0.217606581188122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E-92C3-0348-BCDD-AD071262FF3D}"/>
                </c:ext>
              </c:extLst>
            </c:dLbl>
            <c:dLbl>
              <c:idx val="8"/>
              <c:layout>
                <c:manualLayout>
                  <c:x val="9.4718608534157131E-2"/>
                  <c:y val="-6.624034093528731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0-92C3-0348-BCDD-AD071262FF3D}"/>
                </c:ext>
              </c:extLst>
            </c:dLbl>
            <c:dLbl>
              <c:idx val="9"/>
              <c:layout>
                <c:manualLayout>
                  <c:x val="0.1474961160715374"/>
                  <c:y val="-5.09691095767305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2-92C3-0348-BCDD-AD071262FF3D}"/>
                </c:ext>
              </c:extLst>
            </c:dLbl>
            <c:dLbl>
              <c:idx val="10"/>
              <c:layout>
                <c:manualLayout>
                  <c:x val="0.13449645507691033"/>
                  <c:y val="-7.290183170212309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4-92C3-0348-BCDD-AD071262FF3D}"/>
                </c:ext>
              </c:extLst>
            </c:dLbl>
            <c:dLbl>
              <c:idx val="11"/>
              <c:layout>
                <c:manualLayout>
                  <c:x val="0.26648909075369642"/>
                  <c:y val="-2.6655756562216706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6-92C3-0348-BCDD-AD071262FF3D}"/>
                </c:ext>
              </c:extLst>
            </c:dLbl>
            <c:dLbl>
              <c:idx val="12"/>
              <c:layout>
                <c:manualLayout>
                  <c:x val="0.15641068092743857"/>
                  <c:y val="2.5726979540995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8-92C3-0348-BCDD-AD071262FF3D}"/>
                </c:ext>
              </c:extLst>
            </c:dLbl>
            <c:dLbl>
              <c:idx val="13"/>
              <c:layout>
                <c:manualLayout>
                  <c:x val="0.17981358436198919"/>
                  <c:y val="2.793912264079120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A-92C3-0348-BCDD-AD071262FF3D}"/>
                </c:ext>
              </c:extLst>
            </c:dLbl>
            <c:dLbl>
              <c:idx val="14"/>
              <c:layout>
                <c:manualLayout>
                  <c:x val="0.22157332454244652"/>
                  <c:y val="6.169737639284557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C-92C3-0348-BCDD-AD071262FF3D}"/>
                </c:ext>
              </c:extLst>
            </c:dLbl>
            <c:dLbl>
              <c:idx val="15"/>
              <c:layout>
                <c:manualLayout>
                  <c:x val="0.18326771913116727"/>
                  <c:y val="0.1347835071464809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E-92C3-0348-BCDD-AD071262FF3D}"/>
                </c:ext>
              </c:extLst>
            </c:dLbl>
            <c:dLbl>
              <c:idx val="16"/>
              <c:layout>
                <c:manualLayout>
                  <c:x val="0.13047209503925369"/>
                  <c:y val="0.1391583715965368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0-92C3-0348-BCDD-AD071262FF3D}"/>
                </c:ext>
              </c:extLst>
            </c:dLbl>
            <c:dLbl>
              <c:idx val="17"/>
              <c:layout>
                <c:manualLayout>
                  <c:x val="0.11211945838369779"/>
                  <c:y val="9.261044081641531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2-92C3-0348-BCDD-AD071262FF3D}"/>
                </c:ext>
              </c:extLst>
            </c:dLbl>
            <c:dLbl>
              <c:idx val="19"/>
              <c:layout>
                <c:manualLayout>
                  <c:x val="6.3236951027434804E-2"/>
                  <c:y val="7.376651949967916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6-92C3-0348-BCDD-AD071262FF3D}"/>
                </c:ext>
              </c:extLst>
            </c:dLbl>
            <c:dLbl>
              <c:idx val="20"/>
              <c:layout>
                <c:manualLayout>
                  <c:x val="4.7553227598500662E-2"/>
                  <c:y val="3.017061859396561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8-92C3-0348-BCDD-AD071262FF3D}"/>
                </c:ext>
              </c:extLst>
            </c:dLbl>
            <c:dLbl>
              <c:idx val="21"/>
              <c:layout>
                <c:manualLayout>
                  <c:x val="0.11180225862695617"/>
                  <c:y val="0.1648754735547971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A-92C3-0348-BCDD-AD071262FF3D}"/>
                </c:ext>
              </c:extLst>
            </c:dLbl>
            <c:dLbl>
              <c:idx val="22"/>
              <c:layout>
                <c:manualLayout>
                  <c:x val="3.3664957364643701E-3"/>
                  <c:y val="0.1249881063567141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5C-92C3-0348-BCDD-AD071262FF3D}"/>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extLst>
          </c:dLbls>
          <c:cat>
            <c:strRef>
              <c:f>'Portfolio Dec.11.2025 Q4'!$B$12:$B$46</c:f>
              <c:strCache>
                <c:ptCount val="35"/>
                <c:pt idx="0">
                  <c:v>APPLE INC. (XNAS:AAPL)</c:v>
                </c:pt>
                <c:pt idx="1">
                  <c:v>NVIDIA CORPORATION (XNAS:NVDA)</c:v>
                </c:pt>
                <c:pt idx="2">
                  <c:v>ALPHABET INC. (XNAS:GOOGL)</c:v>
                </c:pt>
                <c:pt idx="3">
                  <c:v>SUPER MICRO COMPUTER, INC. (XNAS:SMCI)</c:v>
                </c:pt>
                <c:pt idx="4">
                  <c:v>Vanguard InfoTch Idx;ETF (ARCX:VGT)</c:v>
                </c:pt>
                <c:pt idx="5">
                  <c:v>Invesco QQQ Trust 1 (XNAS:QQQ)</c:v>
                </c:pt>
                <c:pt idx="6">
                  <c:v>SPDR S&amp;P 500 (ARCX:SPY)</c:v>
                </c:pt>
                <c:pt idx="7">
                  <c:v>AMAZON.COM, INC. (XNAS:AMZN)</c:v>
                </c:pt>
                <c:pt idx="8">
                  <c:v>MICROSOFT CORPORATION (XNAS:MSFT)</c:v>
                </c:pt>
                <c:pt idx="9">
                  <c:v>Meta Platforms, Inc. (XNAS:META)</c:v>
                </c:pt>
                <c:pt idx="10">
                  <c:v>IREN LIMITED (XNAS:IREN)</c:v>
                </c:pt>
                <c:pt idx="11">
                  <c:v>BARCLAYS PLC (XNYS:BCS)</c:v>
                </c:pt>
                <c:pt idx="12">
                  <c:v>JPMORGAN CHASE &amp; CO. (XNYS:JPM)</c:v>
                </c:pt>
                <c:pt idx="13">
                  <c:v>VERIZON COMMUNICATIONS INC. (XNYS:VZ)</c:v>
                </c:pt>
                <c:pt idx="14">
                  <c:v>ROBINHOOD MARKETS, INC. (XNAS:HOOD)</c:v>
                </c:pt>
                <c:pt idx="15">
                  <c:v>SOFI TECHNOLOGIES, INC. (XNAS:SOFI)</c:v>
                </c:pt>
                <c:pt idx="16">
                  <c:v>UNITEDHEALTH GROUP INCORPORATED (XNYS:UNH)</c:v>
                </c:pt>
                <c:pt idx="17">
                  <c:v>COREWEAVE, INC. (XNAS:CRWV)</c:v>
                </c:pt>
                <c:pt idx="18">
                  <c:v>VISTRA CORP. (XNYS:VST)</c:v>
                </c:pt>
                <c:pt idx="19">
                  <c:v>NASDAQ, INC. (XNAS:NDAQ)</c:v>
                </c:pt>
                <c:pt idx="20">
                  <c:v>BROADCOM INC. (XNAS:AVGO)</c:v>
                </c:pt>
                <c:pt idx="21">
                  <c:v>Taiwan Semiconductor Manufacturing Co., Ltd. (XNYS:TSM)</c:v>
                </c:pt>
                <c:pt idx="22">
                  <c:v>ARISTA NETWORKS, INC. (XNYS:ANET)</c:v>
                </c:pt>
                <c:pt idx="23">
                  <c:v>APPLOVIN CORPORATION (XNAS:APP)</c:v>
                </c:pt>
                <c:pt idx="24">
                  <c:v>IShares:Gold Trust (ARCX:IAU)</c:v>
                </c:pt>
                <c:pt idx="25">
                  <c:v>COMFORT SYSTEMS USA, INC. (XNYS:FIX)</c:v>
                </c:pt>
                <c:pt idx="26">
                  <c:v>AMERICAN EXPRESS COMPANY (XNYS:AXP)</c:v>
                </c:pt>
                <c:pt idx="27">
                  <c:v>CELESTICA INC. (XNYS:CLS)</c:v>
                </c:pt>
                <c:pt idx="28">
                  <c:v>ENOVA INTERNATIONAL, INC. (XNYS:ENVA)</c:v>
                </c:pt>
                <c:pt idx="29">
                  <c:v>Sterling Infrastructure, Inc. (XNAS:STRL)</c:v>
                </c:pt>
                <c:pt idx="30">
                  <c:v>Deutsche Bank AG (XFRA:DBK)</c:v>
                </c:pt>
                <c:pt idx="31">
                  <c:v>HESS MIDSTREAM LP (XNYS:HESM)</c:v>
                </c:pt>
                <c:pt idx="32">
                  <c:v>Nebius Group NV (XNAS:NBIS)</c:v>
                </c:pt>
                <c:pt idx="33">
                  <c:v>ENERGY FUELS INCORPORATED (XNYS:UUUU)</c:v>
                </c:pt>
                <c:pt idx="34">
                  <c:v>ORACLE CORPORATION (XNYS:ORCL)</c:v>
                </c:pt>
              </c:strCache>
            </c:strRef>
          </c:cat>
          <c:val>
            <c:numRef>
              <c:f>'Portfolio Dec.11.2025 Q4'!$F$12:$F$34</c:f>
              <c:numCache>
                <c:formatCode>"$"#,##0.00</c:formatCode>
                <c:ptCount val="23"/>
                <c:pt idx="0">
                  <c:v>278.02999999999997</c:v>
                </c:pt>
                <c:pt idx="1">
                  <c:v>180.93</c:v>
                </c:pt>
                <c:pt idx="2">
                  <c:v>312.43</c:v>
                </c:pt>
                <c:pt idx="3">
                  <c:v>34.020000000000003</c:v>
                </c:pt>
                <c:pt idx="4">
                  <c:v>776.34</c:v>
                </c:pt>
                <c:pt idx="5">
                  <c:v>625.58000000000004</c:v>
                </c:pt>
                <c:pt idx="6">
                  <c:v>689.17</c:v>
                </c:pt>
                <c:pt idx="7">
                  <c:v>230.28</c:v>
                </c:pt>
                <c:pt idx="8">
                  <c:v>483.47</c:v>
                </c:pt>
                <c:pt idx="9">
                  <c:v>652.71</c:v>
                </c:pt>
                <c:pt idx="10">
                  <c:v>43.94</c:v>
                </c:pt>
                <c:pt idx="11">
                  <c:v>24.19</c:v>
                </c:pt>
                <c:pt idx="12">
                  <c:v>317.38</c:v>
                </c:pt>
                <c:pt idx="13">
                  <c:v>40.22</c:v>
                </c:pt>
                <c:pt idx="14">
                  <c:v>123.38</c:v>
                </c:pt>
                <c:pt idx="15">
                  <c:v>27.07</c:v>
                </c:pt>
                <c:pt idx="16">
                  <c:v>336.73</c:v>
                </c:pt>
                <c:pt idx="17">
                  <c:v>87.38</c:v>
                </c:pt>
                <c:pt idx="18">
                  <c:v>174.63</c:v>
                </c:pt>
                <c:pt idx="19">
                  <c:v>93.85</c:v>
                </c:pt>
                <c:pt idx="20">
                  <c:v>406.37</c:v>
                </c:pt>
                <c:pt idx="21">
                  <c:v>304.85000000000002</c:v>
                </c:pt>
                <c:pt idx="22">
                  <c:v>134.38999999999999</c:v>
                </c:pt>
              </c:numCache>
            </c:numRef>
          </c:val>
          <c:extLst>
            <c:ext xmlns:c16="http://schemas.microsoft.com/office/drawing/2014/chart" uri="{C3380CC4-5D6E-409C-BE32-E72D297353CC}">
              <c16:uniqueId val="{0000005D-92C3-0348-BCDD-AD071262FF3D}"/>
            </c:ext>
          </c:extLst>
        </c:ser>
        <c:ser>
          <c:idx val="0"/>
          <c:order val="2"/>
          <c:tx>
            <c:v>Ticker Price</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F-92C3-0348-BCDD-AD071262FF3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92C3-0348-BCDD-AD071262FF3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92C3-0348-BCDD-AD071262FF3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5-92C3-0348-BCDD-AD071262FF3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92C3-0348-BCDD-AD071262FF3D}"/>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9-92C3-0348-BCDD-AD071262FF3D}"/>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B-92C3-0348-BCDD-AD071262FF3D}"/>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D-92C3-0348-BCDD-AD071262FF3D}"/>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92C3-0348-BCDD-AD071262FF3D}"/>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1-92C3-0348-BCDD-AD071262FF3D}"/>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3-92C3-0348-BCDD-AD071262FF3D}"/>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5-92C3-0348-BCDD-AD071262FF3D}"/>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7-92C3-0348-BCDD-AD071262FF3D}"/>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9-92C3-0348-BCDD-AD071262FF3D}"/>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B-92C3-0348-BCDD-AD071262FF3D}"/>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D-92C3-0348-BCDD-AD071262FF3D}"/>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F-92C3-0348-BCDD-AD071262FF3D}"/>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1-92C3-0348-BCDD-AD071262FF3D}"/>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3-92C3-0348-BCDD-AD071262FF3D}"/>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5-92C3-0348-BCDD-AD071262FF3D}"/>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7-92C3-0348-BCDD-AD071262FF3D}"/>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9-92C3-0348-BCDD-AD071262FF3D}"/>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B-92C3-0348-BCDD-AD071262FF3D}"/>
              </c:ext>
            </c:extLst>
          </c:dPt>
          <c:dLbls>
            <c:dLbl>
              <c:idx val="4"/>
              <c:layout>
                <c:manualLayout>
                  <c:x val="-0.16232763260448985"/>
                  <c:y val="0.1258999157447978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67-92C3-0348-BCDD-AD071262FF3D}"/>
                </c:ext>
              </c:extLst>
            </c:dLbl>
            <c:dLbl>
              <c:idx val="5"/>
              <c:layout>
                <c:manualLayout>
                  <c:x val="-0.15421296650617411"/>
                  <c:y val="-1.251143146224501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69-92C3-0348-BCDD-AD071262FF3D}"/>
                </c:ext>
              </c:extLst>
            </c:dLbl>
            <c:dLbl>
              <c:idx val="6"/>
              <c:layout>
                <c:manualLayout>
                  <c:x val="-0.14092326204137326"/>
                  <c:y val="-0.1339546559018182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6B-92C3-0348-BCDD-AD071262FF3D}"/>
                </c:ext>
              </c:extLst>
            </c:dLbl>
            <c:dLbl>
              <c:idx val="7"/>
              <c:layout>
                <c:manualLayout>
                  <c:x val="-0.11493062372106339"/>
                  <c:y val="-0.1798942252634127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6D-92C3-0348-BCDD-AD071262FF3D}"/>
                </c:ext>
              </c:extLst>
            </c:dLbl>
            <c:dLbl>
              <c:idx val="8"/>
              <c:layout>
                <c:manualLayout>
                  <c:x val="-2.6138607369407464E-2"/>
                  <c:y val="-0.1162555057265273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6F-92C3-0348-BCDD-AD071262FF3D}"/>
                </c:ext>
              </c:extLst>
            </c:dLbl>
            <c:dLbl>
              <c:idx val="9"/>
              <c:layout>
                <c:manualLayout>
                  <c:x val="0.11148942290316827"/>
                  <c:y val="-0.1380978649738135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71-92C3-0348-BCDD-AD071262FF3D}"/>
                </c:ext>
              </c:extLst>
            </c:dLbl>
            <c:dLbl>
              <c:idx val="10"/>
              <c:layout>
                <c:manualLayout>
                  <c:x val="0.16674446478730862"/>
                  <c:y val="-6.0077325505507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73-92C3-0348-BCDD-AD071262FF3D}"/>
                </c:ext>
              </c:extLst>
            </c:dLbl>
            <c:dLbl>
              <c:idx val="11"/>
              <c:layout>
                <c:manualLayout>
                  <c:x val="0.13237694984792289"/>
                  <c:y val="-3.051416633876053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75-92C3-0348-BCDD-AD071262FF3D}"/>
                </c:ext>
              </c:extLst>
            </c:dLbl>
            <c:dLbl>
              <c:idx val="12"/>
              <c:layout>
                <c:manualLayout>
                  <c:x val="0.18841794139147533"/>
                  <c:y val="1.114944357585048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77-92C3-0348-BCDD-AD071262FF3D}"/>
                </c:ext>
              </c:extLst>
            </c:dLbl>
            <c:dLbl>
              <c:idx val="13"/>
              <c:layout>
                <c:manualLayout>
                  <c:x val="0.17271094966916933"/>
                  <c:y val="4.278484244785339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79-92C3-0348-BCDD-AD071262FF3D}"/>
                </c:ext>
              </c:extLst>
            </c:dLbl>
            <c:dLbl>
              <c:idx val="14"/>
              <c:layout>
                <c:manualLayout>
                  <c:x val="0.16827011455448021"/>
                  <c:y val="5.111349934752237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7B-92C3-0348-BCDD-AD071262FF3D}"/>
                </c:ext>
              </c:extLst>
            </c:dLbl>
            <c:dLbl>
              <c:idx val="21"/>
              <c:layout>
                <c:manualLayout>
                  <c:x val="7.3745210435794531E-2"/>
                  <c:y val="2.976568986881445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89-92C3-0348-BCDD-AD071262FF3D}"/>
                </c:ext>
              </c:extLst>
            </c:dLbl>
            <c:dLbl>
              <c:idx val="22"/>
              <c:layout>
                <c:manualLayout>
                  <c:x val="1.7090154462228554E-2"/>
                  <c:y val="0.1677524496214647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8B-92C3-0348-BCDD-AD071262FF3D}"/>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'Portfolio Dec.11.2025 Q4'!$B$12:$B$46</c:f>
              <c:strCache>
                <c:ptCount val="35"/>
                <c:pt idx="0">
                  <c:v>APPLE INC. (XNAS:AAPL)</c:v>
                </c:pt>
                <c:pt idx="1">
                  <c:v>NVIDIA CORPORATION (XNAS:NVDA)</c:v>
                </c:pt>
                <c:pt idx="2">
                  <c:v>ALPHABET INC. (XNAS:GOOGL)</c:v>
                </c:pt>
                <c:pt idx="3">
                  <c:v>SUPER MICRO COMPUTER, INC. (XNAS:SMCI)</c:v>
                </c:pt>
                <c:pt idx="4">
                  <c:v>Vanguard InfoTch Idx;ETF (ARCX:VGT)</c:v>
                </c:pt>
                <c:pt idx="5">
                  <c:v>Invesco QQQ Trust 1 (XNAS:QQQ)</c:v>
                </c:pt>
                <c:pt idx="6">
                  <c:v>SPDR S&amp;P 500 (ARCX:SPY)</c:v>
                </c:pt>
                <c:pt idx="7">
                  <c:v>AMAZON.COM, INC. (XNAS:AMZN)</c:v>
                </c:pt>
                <c:pt idx="8">
                  <c:v>MICROSOFT CORPORATION (XNAS:MSFT)</c:v>
                </c:pt>
                <c:pt idx="9">
                  <c:v>Meta Platforms, Inc. (XNAS:META)</c:v>
                </c:pt>
                <c:pt idx="10">
                  <c:v>IREN LIMITED (XNAS:IREN)</c:v>
                </c:pt>
                <c:pt idx="11">
                  <c:v>BARCLAYS PLC (XNYS:BCS)</c:v>
                </c:pt>
                <c:pt idx="12">
                  <c:v>JPMORGAN CHASE &amp; CO. (XNYS:JPM)</c:v>
                </c:pt>
                <c:pt idx="13">
                  <c:v>VERIZON COMMUNICATIONS INC. (XNYS:VZ)</c:v>
                </c:pt>
                <c:pt idx="14">
                  <c:v>ROBINHOOD MARKETS, INC. (XNAS:HOOD)</c:v>
                </c:pt>
                <c:pt idx="15">
                  <c:v>SOFI TECHNOLOGIES, INC. (XNAS:SOFI)</c:v>
                </c:pt>
                <c:pt idx="16">
                  <c:v>UNITEDHEALTH GROUP INCORPORATED (XNYS:UNH)</c:v>
                </c:pt>
                <c:pt idx="17">
                  <c:v>COREWEAVE, INC. (XNAS:CRWV)</c:v>
                </c:pt>
                <c:pt idx="18">
                  <c:v>VISTRA CORP. (XNYS:VST)</c:v>
                </c:pt>
                <c:pt idx="19">
                  <c:v>NASDAQ, INC. (XNAS:NDAQ)</c:v>
                </c:pt>
                <c:pt idx="20">
                  <c:v>BROADCOM INC. (XNAS:AVGO)</c:v>
                </c:pt>
                <c:pt idx="21">
                  <c:v>Taiwan Semiconductor Manufacturing Co., Ltd. (XNYS:TSM)</c:v>
                </c:pt>
                <c:pt idx="22">
                  <c:v>ARISTA NETWORKS, INC. (XNYS:ANET)</c:v>
                </c:pt>
                <c:pt idx="23">
                  <c:v>APPLOVIN CORPORATION (XNAS:APP)</c:v>
                </c:pt>
                <c:pt idx="24">
                  <c:v>IShares:Gold Trust (ARCX:IAU)</c:v>
                </c:pt>
                <c:pt idx="25">
                  <c:v>COMFORT SYSTEMS USA, INC. (XNYS:FIX)</c:v>
                </c:pt>
                <c:pt idx="26">
                  <c:v>AMERICAN EXPRESS COMPANY (XNYS:AXP)</c:v>
                </c:pt>
                <c:pt idx="27">
                  <c:v>CELESTICA INC. (XNYS:CLS)</c:v>
                </c:pt>
                <c:pt idx="28">
                  <c:v>ENOVA INTERNATIONAL, INC. (XNYS:ENVA)</c:v>
                </c:pt>
                <c:pt idx="29">
                  <c:v>Sterling Infrastructure, Inc. (XNAS:STRL)</c:v>
                </c:pt>
                <c:pt idx="30">
                  <c:v>Deutsche Bank AG (XFRA:DBK)</c:v>
                </c:pt>
                <c:pt idx="31">
                  <c:v>HESS MIDSTREAM LP (XNYS:HESM)</c:v>
                </c:pt>
                <c:pt idx="32">
                  <c:v>Nebius Group NV (XNAS:NBIS)</c:v>
                </c:pt>
                <c:pt idx="33">
                  <c:v>ENERGY FUELS INCORPORATED (XNYS:UUUU)</c:v>
                </c:pt>
                <c:pt idx="34">
                  <c:v>ORACLE CORPORATION (XNYS:ORCL)</c:v>
                </c:pt>
              </c:strCache>
            </c:strRef>
          </c:cat>
          <c:val>
            <c:numRef>
              <c:f>'Portfolio Dec.11.2025 Q4'!$C$12:$C$34</c:f>
              <c:numCache>
                <c:formatCode>[$$-409]#,##0.00</c:formatCode>
                <c:ptCount val="23"/>
                <c:pt idx="0">
                  <c:v>278.02999999999997</c:v>
                </c:pt>
                <c:pt idx="1">
                  <c:v>180.93</c:v>
                </c:pt>
                <c:pt idx="2">
                  <c:v>312.43</c:v>
                </c:pt>
                <c:pt idx="3">
                  <c:v>34.020000000000003</c:v>
                </c:pt>
                <c:pt idx="4">
                  <c:v>776.34</c:v>
                </c:pt>
                <c:pt idx="5">
                  <c:v>625.58000000000004</c:v>
                </c:pt>
                <c:pt idx="6">
                  <c:v>689.17</c:v>
                </c:pt>
                <c:pt idx="7">
                  <c:v>230.28</c:v>
                </c:pt>
                <c:pt idx="8">
                  <c:v>483.47</c:v>
                </c:pt>
                <c:pt idx="9">
                  <c:v>652.71</c:v>
                </c:pt>
                <c:pt idx="10">
                  <c:v>43.94</c:v>
                </c:pt>
                <c:pt idx="11">
                  <c:v>24.19</c:v>
                </c:pt>
                <c:pt idx="12">
                  <c:v>317.38</c:v>
                </c:pt>
                <c:pt idx="13">
                  <c:v>40.22</c:v>
                </c:pt>
                <c:pt idx="14">
                  <c:v>123.38</c:v>
                </c:pt>
                <c:pt idx="15">
                  <c:v>27.07</c:v>
                </c:pt>
                <c:pt idx="16">
                  <c:v>336.73</c:v>
                </c:pt>
                <c:pt idx="17">
                  <c:v>87.38</c:v>
                </c:pt>
                <c:pt idx="18">
                  <c:v>174.63</c:v>
                </c:pt>
                <c:pt idx="19">
                  <c:v>93.85</c:v>
                </c:pt>
                <c:pt idx="20">
                  <c:v>406.37</c:v>
                </c:pt>
                <c:pt idx="21">
                  <c:v>304.85000000000002</c:v>
                </c:pt>
                <c:pt idx="22">
                  <c:v>134.38999999999999</c:v>
                </c:pt>
              </c:numCache>
            </c:numRef>
          </c:val>
          <c:extLst>
            <c:ext xmlns:c16="http://schemas.microsoft.com/office/drawing/2014/chart" uri="{C3380CC4-5D6E-409C-BE32-E72D297353CC}">
              <c16:uniqueId val="{0000008C-92C3-0348-BCDD-AD071262FF3D}"/>
            </c:ext>
          </c:extLst>
        </c:ser>
        <c:ser>
          <c:idx val="1"/>
          <c:order val="3"/>
          <c:tx>
            <c:v>Average Price</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E-92C3-0348-BCDD-AD071262FF3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0-92C3-0348-BCDD-AD071262FF3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2-92C3-0348-BCDD-AD071262FF3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4-92C3-0348-BCDD-AD071262FF3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6-92C3-0348-BCDD-AD071262FF3D}"/>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8-92C3-0348-BCDD-AD071262FF3D}"/>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A-92C3-0348-BCDD-AD071262FF3D}"/>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C-92C3-0348-BCDD-AD071262FF3D}"/>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E-92C3-0348-BCDD-AD071262FF3D}"/>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0-92C3-0348-BCDD-AD071262FF3D}"/>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2-92C3-0348-BCDD-AD071262FF3D}"/>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4-92C3-0348-BCDD-AD071262FF3D}"/>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6-92C3-0348-BCDD-AD071262FF3D}"/>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8-92C3-0348-BCDD-AD071262FF3D}"/>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A-92C3-0348-BCDD-AD071262FF3D}"/>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C-92C3-0348-BCDD-AD071262FF3D}"/>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E-92C3-0348-BCDD-AD071262FF3D}"/>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0-92C3-0348-BCDD-AD071262FF3D}"/>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2-92C3-0348-BCDD-AD071262FF3D}"/>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4-92C3-0348-BCDD-AD071262FF3D}"/>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6-92C3-0348-BCDD-AD071262FF3D}"/>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8-92C3-0348-BCDD-AD071262FF3D}"/>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A-92C3-0348-BCDD-AD071262FF3D}"/>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 Dec.11.2025 Q4'!$B$12:$B$46</c:f>
              <c:strCache>
                <c:ptCount val="35"/>
                <c:pt idx="0">
                  <c:v>APPLE INC. (XNAS:AAPL)</c:v>
                </c:pt>
                <c:pt idx="1">
                  <c:v>NVIDIA CORPORATION (XNAS:NVDA)</c:v>
                </c:pt>
                <c:pt idx="2">
                  <c:v>ALPHABET INC. (XNAS:GOOGL)</c:v>
                </c:pt>
                <c:pt idx="3">
                  <c:v>SUPER MICRO COMPUTER, INC. (XNAS:SMCI)</c:v>
                </c:pt>
                <c:pt idx="4">
                  <c:v>Vanguard InfoTch Idx;ETF (ARCX:VGT)</c:v>
                </c:pt>
                <c:pt idx="5">
                  <c:v>Invesco QQQ Trust 1 (XNAS:QQQ)</c:v>
                </c:pt>
                <c:pt idx="6">
                  <c:v>SPDR S&amp;P 500 (ARCX:SPY)</c:v>
                </c:pt>
                <c:pt idx="7">
                  <c:v>AMAZON.COM, INC. (XNAS:AMZN)</c:v>
                </c:pt>
                <c:pt idx="8">
                  <c:v>MICROSOFT CORPORATION (XNAS:MSFT)</c:v>
                </c:pt>
                <c:pt idx="9">
                  <c:v>Meta Platforms, Inc. (XNAS:META)</c:v>
                </c:pt>
                <c:pt idx="10">
                  <c:v>IREN LIMITED (XNAS:IREN)</c:v>
                </c:pt>
                <c:pt idx="11">
                  <c:v>BARCLAYS PLC (XNYS:BCS)</c:v>
                </c:pt>
                <c:pt idx="12">
                  <c:v>JPMORGAN CHASE &amp; CO. (XNYS:JPM)</c:v>
                </c:pt>
                <c:pt idx="13">
                  <c:v>VERIZON COMMUNICATIONS INC. (XNYS:VZ)</c:v>
                </c:pt>
                <c:pt idx="14">
                  <c:v>ROBINHOOD MARKETS, INC. (XNAS:HOOD)</c:v>
                </c:pt>
                <c:pt idx="15">
                  <c:v>SOFI TECHNOLOGIES, INC. (XNAS:SOFI)</c:v>
                </c:pt>
                <c:pt idx="16">
                  <c:v>UNITEDHEALTH GROUP INCORPORATED (XNYS:UNH)</c:v>
                </c:pt>
                <c:pt idx="17">
                  <c:v>COREWEAVE, INC. (XNAS:CRWV)</c:v>
                </c:pt>
                <c:pt idx="18">
                  <c:v>VISTRA CORP. (XNYS:VST)</c:v>
                </c:pt>
                <c:pt idx="19">
                  <c:v>NASDAQ, INC. (XNAS:NDAQ)</c:v>
                </c:pt>
                <c:pt idx="20">
                  <c:v>BROADCOM INC. (XNAS:AVGO)</c:v>
                </c:pt>
                <c:pt idx="21">
                  <c:v>Taiwan Semiconductor Manufacturing Co., Ltd. (XNYS:TSM)</c:v>
                </c:pt>
                <c:pt idx="22">
                  <c:v>ARISTA NETWORKS, INC. (XNYS:ANET)</c:v>
                </c:pt>
                <c:pt idx="23">
                  <c:v>APPLOVIN CORPORATION (XNAS:APP)</c:v>
                </c:pt>
                <c:pt idx="24">
                  <c:v>IShares:Gold Trust (ARCX:IAU)</c:v>
                </c:pt>
                <c:pt idx="25">
                  <c:v>COMFORT SYSTEMS USA, INC. (XNYS:FIX)</c:v>
                </c:pt>
                <c:pt idx="26">
                  <c:v>AMERICAN EXPRESS COMPANY (XNYS:AXP)</c:v>
                </c:pt>
                <c:pt idx="27">
                  <c:v>CELESTICA INC. (XNYS:CLS)</c:v>
                </c:pt>
                <c:pt idx="28">
                  <c:v>ENOVA INTERNATIONAL, INC. (XNYS:ENVA)</c:v>
                </c:pt>
                <c:pt idx="29">
                  <c:v>Sterling Infrastructure, Inc. (XNAS:STRL)</c:v>
                </c:pt>
                <c:pt idx="30">
                  <c:v>Deutsche Bank AG (XFRA:DBK)</c:v>
                </c:pt>
                <c:pt idx="31">
                  <c:v>HESS MIDSTREAM LP (XNYS:HESM)</c:v>
                </c:pt>
                <c:pt idx="32">
                  <c:v>Nebius Group NV (XNAS:NBIS)</c:v>
                </c:pt>
                <c:pt idx="33">
                  <c:v>ENERGY FUELS INCORPORATED (XNYS:UUUU)</c:v>
                </c:pt>
                <c:pt idx="34">
                  <c:v>ORACLE CORPORATION (XNYS:ORCL)</c:v>
                </c:pt>
              </c:strCache>
            </c:strRef>
          </c:cat>
          <c:val>
            <c:numRef>
              <c:f>'Portfolio Dec.11.2025 Q4'!$D$12:$D$34</c:f>
              <c:numCache>
                <c:formatCode>"$"#,##0.00_);\("$"#,##0.00\)</c:formatCode>
                <c:ptCount val="23"/>
                <c:pt idx="0">
                  <c:v>278.02999999999997</c:v>
                </c:pt>
                <c:pt idx="1">
                  <c:v>180.93</c:v>
                </c:pt>
                <c:pt idx="2">
                  <c:v>312.43</c:v>
                </c:pt>
                <c:pt idx="3">
                  <c:v>34.020000000000003</c:v>
                </c:pt>
                <c:pt idx="4">
                  <c:v>776.34</c:v>
                </c:pt>
                <c:pt idx="5">
                  <c:v>625.58000000000004</c:v>
                </c:pt>
                <c:pt idx="6">
                  <c:v>689.17</c:v>
                </c:pt>
                <c:pt idx="7">
                  <c:v>230.28</c:v>
                </c:pt>
                <c:pt idx="8">
                  <c:v>483.47</c:v>
                </c:pt>
                <c:pt idx="9">
                  <c:v>652.71</c:v>
                </c:pt>
                <c:pt idx="10">
                  <c:v>43.94</c:v>
                </c:pt>
                <c:pt idx="11">
                  <c:v>24.19</c:v>
                </c:pt>
                <c:pt idx="12">
                  <c:v>317.38</c:v>
                </c:pt>
                <c:pt idx="13">
                  <c:v>40.22</c:v>
                </c:pt>
                <c:pt idx="14">
                  <c:v>123.38</c:v>
                </c:pt>
                <c:pt idx="15">
                  <c:v>27.07</c:v>
                </c:pt>
                <c:pt idx="16">
                  <c:v>336.73</c:v>
                </c:pt>
                <c:pt idx="17">
                  <c:v>87.38</c:v>
                </c:pt>
                <c:pt idx="18">
                  <c:v>174.63</c:v>
                </c:pt>
                <c:pt idx="19">
                  <c:v>93.85</c:v>
                </c:pt>
                <c:pt idx="20">
                  <c:v>406.37</c:v>
                </c:pt>
                <c:pt idx="21">
                  <c:v>304.85000000000002</c:v>
                </c:pt>
                <c:pt idx="22">
                  <c:v>134.38999999999999</c:v>
                </c:pt>
              </c:numCache>
            </c:numRef>
          </c:val>
          <c:extLst>
            <c:ext xmlns:c16="http://schemas.microsoft.com/office/drawing/2014/chart" uri="{C3380CC4-5D6E-409C-BE32-E72D297353CC}">
              <c16:uniqueId val="{000000BB-92C3-0348-BCDD-AD071262FF3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l"/>
      <c:layout>
        <c:manualLayout>
          <c:xMode val="edge"/>
          <c:yMode val="edge"/>
          <c:x val="6.0526513949216822E-3"/>
          <c:y val="0.11494132377957612"/>
          <c:w val="0.22946379863130648"/>
          <c:h val="0.7646289054783631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Portfolio</a:t>
            </a:r>
            <a:r>
              <a:rPr lang="en-US" sz="1800" b="1" baseline="0"/>
              <a:t> Overview</a:t>
            </a:r>
          </a:p>
        </c:rich>
      </c:tx>
      <c:layout>
        <c:manualLayout>
          <c:xMode val="edge"/>
          <c:yMode val="edge"/>
          <c:x val="9.759512106802504E-3"/>
          <c:y val="2.5122851876060975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1122595155404623"/>
          <c:y val="0"/>
          <c:w val="0.36403929950017622"/>
          <c:h val="1"/>
        </c:manualLayout>
      </c:layout>
      <c:pieChart>
        <c:varyColors val="1"/>
        <c:ser>
          <c:idx val="2"/>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1FF-D944-86A8-20D9C8A02CE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1FF-D944-86A8-20D9C8A02CE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C6F-E240-A74C-FA6B86388D9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C6F-E240-A74C-FA6B86388D9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C6F-E240-A74C-FA6B86388D9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C6F-E240-A74C-FA6B86388D9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C6F-E240-A74C-FA6B86388D96}"/>
              </c:ext>
            </c:extLst>
          </c:dPt>
          <c:dLbls>
            <c:dLbl>
              <c:idx val="0"/>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separator>
</c:separator>
              <c:extLst>
                <c:ext xmlns:c15="http://schemas.microsoft.com/office/drawing/2012/chart" uri="{CE6537A1-D6FC-4f65-9D91-7224C49458BB}">
                  <c15:layout>
                    <c:manualLayout>
                      <c:w val="0.17137090486801843"/>
                      <c:h val="0.16951527370525332"/>
                    </c:manualLayout>
                  </c15:layout>
                </c:ext>
                <c:ext xmlns:c16="http://schemas.microsoft.com/office/drawing/2014/chart" uri="{C3380CC4-5D6E-409C-BE32-E72D297353CC}">
                  <c16:uniqueId val="{00000001-F1FF-D944-86A8-20D9C8A02CE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'Portfolio Dec.11.2025 Q4'!$B$102:$B$108</c:f>
              <c:strCache>
                <c:ptCount val="7"/>
                <c:pt idx="0">
                  <c:v>JPMorgan:Eqty Prem Inc (ARCX:JEPI)</c:v>
                </c:pt>
                <c:pt idx="1">
                  <c:v>IShares:Gold Trust (ARCX:IAU)</c:v>
                </c:pt>
                <c:pt idx="2">
                  <c:v>SPDR S&amp;P 500 (ARCX:SPY)</c:v>
                </c:pt>
                <c:pt idx="3">
                  <c:v>IREN LIMITED (XNAS:IREN)</c:v>
                </c:pt>
                <c:pt idx="4">
                  <c:v>Invesco QQQ Trust 1 (XNAS:QQQ)</c:v>
                </c:pt>
                <c:pt idx="5">
                  <c:v>NEOS Nasdaq-100 High Inc (XNAS:QQQI)</c:v>
                </c:pt>
                <c:pt idx="6">
                  <c:v>NEOS S&amp;P 500 High Income (BATS:SPYI)</c:v>
                </c:pt>
              </c:strCache>
            </c:strRef>
          </c:cat>
          <c:val>
            <c:numRef>
              <c:f>'Portfolio Dec.11.2025 Q4'!$G$102:$G$108</c:f>
              <c:numCache>
                <c:formatCode>0.00%</c:formatCode>
                <c:ptCount val="7"/>
                <c:pt idx="0">
                  <c:v>3.6001968614307336E-2</c:v>
                </c:pt>
                <c:pt idx="1">
                  <c:v>5.0174745668737038E-2</c:v>
                </c:pt>
                <c:pt idx="2">
                  <c:v>0.42933858297148619</c:v>
                </c:pt>
                <c:pt idx="3">
                  <c:v>2.7373706539412776E-2</c:v>
                </c:pt>
                <c:pt idx="4">
                  <c:v>0.38972333493231331</c:v>
                </c:pt>
                <c:pt idx="5">
                  <c:v>3.427631619932843E-2</c:v>
                </c:pt>
                <c:pt idx="6">
                  <c:v>3.3111345074414864E-2</c:v>
                </c:pt>
              </c:numCache>
            </c:numRef>
          </c:val>
          <c:extLst>
            <c:ext xmlns:c16="http://schemas.microsoft.com/office/drawing/2014/chart" uri="{C3380CC4-5D6E-409C-BE32-E72D297353CC}">
              <c16:uniqueId val="{00000004-F1FF-D944-86A8-20D9C8A02CEC}"/>
            </c:ext>
          </c:extLst>
        </c:ser>
        <c:ser>
          <c:idx val="0"/>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6-F1FF-D944-86A8-20D9C8A02CE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F1FF-D944-86A8-20D9C8A02CEC}"/>
              </c:ext>
            </c:extLst>
          </c:dPt>
          <c:cat>
            <c:strRef>
              <c:f>'Portfolio Dec.11.2025 Q4'!$B$102:$B$108</c:f>
              <c:strCache>
                <c:ptCount val="7"/>
                <c:pt idx="0">
                  <c:v>JPMorgan:Eqty Prem Inc (ARCX:JEPI)</c:v>
                </c:pt>
                <c:pt idx="1">
                  <c:v>IShares:Gold Trust (ARCX:IAU)</c:v>
                </c:pt>
                <c:pt idx="2">
                  <c:v>SPDR S&amp;P 500 (ARCX:SPY)</c:v>
                </c:pt>
                <c:pt idx="3">
                  <c:v>IREN LIMITED (XNAS:IREN)</c:v>
                </c:pt>
                <c:pt idx="4">
                  <c:v>Invesco QQQ Trust 1 (XNAS:QQQ)</c:v>
                </c:pt>
                <c:pt idx="5">
                  <c:v>NEOS Nasdaq-100 High Inc (XNAS:QQQI)</c:v>
                </c:pt>
                <c:pt idx="6">
                  <c:v>NEOS S&amp;P 500 High Income (BATS:SPYI)</c:v>
                </c:pt>
              </c:strCache>
            </c:strRef>
          </c:cat>
          <c:val>
            <c:numRef>
              <c:f>'Portfolio Dec.11.2025 Q4'!$F$102:$G$102</c:f>
              <c:numCache>
                <c:formatCode>0.00%</c:formatCode>
                <c:ptCount val="2"/>
                <c:pt idx="0" formatCode="_(&quot;$&quot;* #,##0.00_);_(&quot;$&quot;* \(#,##0.00\);_(&quot;$&quot;* &quot;-&quot;??_);_(@_)">
                  <c:v>57.79</c:v>
                </c:pt>
                <c:pt idx="1">
                  <c:v>3.6001968614307336E-2</c:v>
                </c:pt>
              </c:numCache>
            </c:numRef>
          </c:val>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9-F1FF-D944-86A8-20D9C8A02CEC}"/>
            </c:ext>
          </c:extLst>
        </c:ser>
        <c:dLbls>
          <c:showLegendKey val="0"/>
          <c:showVal val="0"/>
          <c:showCatName val="0"/>
          <c:showSerName val="0"/>
          <c:showPercent val="0"/>
          <c:showBubbleSize val="0"/>
          <c:showLeaderLines val="1"/>
        </c:dLbls>
        <c:firstSliceAng val="0"/>
      </c:pieChart>
      <c:spPr>
        <a:noFill/>
        <a:ln>
          <a:noFill/>
        </a:ln>
        <a:effectLst/>
      </c:spPr>
    </c:plotArea>
    <c:legend>
      <c:legendPos val="l"/>
      <c:legendEntry>
        <c:idx val="0"/>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egendEntry>
        <c:idx val="2"/>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1.4357951089963053E-2"/>
          <c:y val="0.13537381945888152"/>
          <c:w val="0.13488483256121861"/>
          <c:h val="0.7878232566600338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Sample Portfolio Model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'Portfolio Model'!$B$4:$B$5</c:f>
              <c:strCache>
                <c:ptCount val="2"/>
                <c:pt idx="0">
                  <c:v>Sample Portfolio Model</c:v>
                </c:pt>
                <c:pt idx="1">
                  <c:v>% Holding</c:v>
                </c:pt>
              </c:strCache>
            </c:strRef>
          </c:tx>
          <c:dPt>
            <c:idx val="0"/>
            <c:bubble3D val="0"/>
            <c:spPr>
              <a:solidFill>
                <a:schemeClr val="accent5">
                  <a:shade val="53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C12-6342-BDA5-2392F2FA3AF2}"/>
              </c:ext>
            </c:extLst>
          </c:dPt>
          <c:dPt>
            <c:idx val="1"/>
            <c:bubble3D val="0"/>
            <c:spPr>
              <a:solidFill>
                <a:schemeClr val="accent5">
                  <a:shade val="7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C12-6342-BDA5-2392F2FA3AF2}"/>
              </c:ext>
            </c:extLst>
          </c:dPt>
          <c:dPt>
            <c:idx val="2"/>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C12-6342-BDA5-2392F2FA3AF2}"/>
              </c:ext>
            </c:extLst>
          </c:dPt>
          <c:dPt>
            <c:idx val="3"/>
            <c:bubble3D val="0"/>
            <c:spPr>
              <a:solidFill>
                <a:schemeClr val="accent5">
                  <a:tint val="77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C12-6342-BDA5-2392F2FA3AF2}"/>
              </c:ext>
            </c:extLst>
          </c:dPt>
          <c:dPt>
            <c:idx val="4"/>
            <c:bubble3D val="0"/>
            <c:spPr>
              <a:solidFill>
                <a:schemeClr val="accent5">
                  <a:tint val="54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C12-6342-BDA5-2392F2FA3AF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1"/>
            <c:showVal val="0"/>
            <c:showCatName val="1"/>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 Model'!$A$6:$A$10</c:f>
              <c:strCache>
                <c:ptCount val="5"/>
                <c:pt idx="0">
                  <c:v>Leveraged Products</c:v>
                </c:pt>
                <c:pt idx="1">
                  <c:v>ETFs</c:v>
                </c:pt>
                <c:pt idx="2">
                  <c:v>Individual Stock</c:v>
                </c:pt>
                <c:pt idx="3">
                  <c:v>Bonds</c:v>
                </c:pt>
                <c:pt idx="4">
                  <c:v>Cash</c:v>
                </c:pt>
              </c:strCache>
            </c:strRef>
          </c:cat>
          <c:val>
            <c:numRef>
              <c:f>'Portfolio Model'!$B$6:$B$10</c:f>
              <c:numCache>
                <c:formatCode>0%</c:formatCode>
                <c:ptCount val="5"/>
                <c:pt idx="0">
                  <c:v>0.1</c:v>
                </c:pt>
                <c:pt idx="1">
                  <c:v>0.3</c:v>
                </c:pt>
                <c:pt idx="2">
                  <c:v>0.45</c:v>
                </c:pt>
                <c:pt idx="3">
                  <c:v>0.15</c:v>
                </c:pt>
                <c:pt idx="4">
                  <c:v>0</c:v>
                </c:pt>
              </c:numCache>
            </c:numRef>
          </c:val>
          <c:extLst>
            <c:ext xmlns:c16="http://schemas.microsoft.com/office/drawing/2014/chart" uri="{C3380CC4-5D6E-409C-BE32-E72D297353CC}">
              <c16:uniqueId val="{00000000-09F4-F84C-A705-25CDB3C93E3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7408095472440943"/>
          <c:y val="0.32210299542976711"/>
          <c:w val="0.27854013208026418"/>
          <c:h val="0.4867814272341831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Individual Stock Allocation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'Portfolio Model'!$E$5</c:f>
              <c:strCache>
                <c:ptCount val="1"/>
                <c:pt idx="0">
                  <c:v>% Holding</c:v>
                </c:pt>
              </c:strCache>
            </c:strRef>
          </c:tx>
          <c:dPt>
            <c:idx val="0"/>
            <c:bubble3D val="0"/>
            <c:spPr>
              <a:solidFill>
                <a:schemeClr val="accent5">
                  <a:shade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63D-3F48-B7C3-D2B994ADD7ED}"/>
              </c:ext>
            </c:extLst>
          </c:dPt>
          <c:dPt>
            <c:idx val="1"/>
            <c:bubble3D val="0"/>
            <c:spPr>
              <a:solidFill>
                <a:schemeClr val="accent5">
                  <a:shade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63D-3F48-B7C3-D2B994ADD7ED}"/>
              </c:ext>
            </c:extLst>
          </c:dPt>
          <c:dPt>
            <c:idx val="2"/>
            <c:bubble3D val="0"/>
            <c:spPr>
              <a:solidFill>
                <a:schemeClr val="accent5">
                  <a:tint val="86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63D-3F48-B7C3-D2B994ADD7ED}"/>
              </c:ext>
            </c:extLst>
          </c:dPt>
          <c:dPt>
            <c:idx val="3"/>
            <c:bubble3D val="0"/>
            <c:spPr>
              <a:solidFill>
                <a:schemeClr val="accent5">
                  <a:tint val="58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63D-3F48-B7C3-D2B994ADD7ED}"/>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 Model'!$D$6:$D$9</c:f>
              <c:strCache>
                <c:ptCount val="4"/>
                <c:pt idx="0">
                  <c:v>Large-Cap</c:v>
                </c:pt>
                <c:pt idx="1">
                  <c:v>Mid-Cap</c:v>
                </c:pt>
                <c:pt idx="2">
                  <c:v>Small-Cap</c:v>
                </c:pt>
                <c:pt idx="3">
                  <c:v>Dividend Stock</c:v>
                </c:pt>
              </c:strCache>
            </c:strRef>
          </c:cat>
          <c:val>
            <c:numRef>
              <c:f>'Portfolio Model'!$E$6:$E$9</c:f>
              <c:numCache>
                <c:formatCode>0%</c:formatCode>
                <c:ptCount val="4"/>
                <c:pt idx="0">
                  <c:v>0.5</c:v>
                </c:pt>
                <c:pt idx="1">
                  <c:v>0.3</c:v>
                </c:pt>
                <c:pt idx="2">
                  <c:v>0</c:v>
                </c:pt>
                <c:pt idx="3">
                  <c:v>0.2</c:v>
                </c:pt>
              </c:numCache>
            </c:numRef>
          </c:val>
          <c:extLst>
            <c:ext xmlns:c16="http://schemas.microsoft.com/office/drawing/2014/chart" uri="{C3380CC4-5D6E-409C-BE32-E72D297353CC}">
              <c16:uniqueId val="{00000000-06F2-ED48-BA08-BC3F4CF4D79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139091923133036"/>
          <c:y val="0.29717085582642783"/>
          <c:w val="0.23803324584426946"/>
          <c:h val="0.52546515018955964"/>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Portfolio</a:t>
            </a:r>
            <a:r>
              <a:rPr lang="en-US" baseline="0"/>
              <a:t> Model</a:t>
            </a:r>
            <a:endParaRPr lang="en-US"/>
          </a:p>
        </c:rich>
      </c:tx>
      <c:layout>
        <c:manualLayout>
          <c:xMode val="edge"/>
          <c:yMode val="edge"/>
          <c:x val="2.6106069162155496E-2"/>
          <c:y val="2.664407864199117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2768562833038184"/>
          <c:y val="1.1175278685752608E-2"/>
          <c:w val="0.72314371669618149"/>
          <c:h val="0.95436388698788599"/>
        </c:manualLayout>
      </c:layout>
      <c:pieChart>
        <c:varyColors val="1"/>
        <c:ser>
          <c:idx val="1"/>
          <c:order val="0"/>
          <c:tx>
            <c:strRef>
              <c:f>'Portfolio Model'!$E$27:$E$28</c:f>
              <c:strCache>
                <c:ptCount val="2"/>
                <c:pt idx="1">
                  <c:v>% Holding</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5160-E646-883A-D259D39A480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8-5160-E646-883A-D259D39A480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5160-E646-883A-D259D39A480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A-5160-E646-883A-D259D39A480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5160-E646-883A-D259D39A480A}"/>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C-5160-E646-883A-D259D39A480A}"/>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5160-E646-883A-D259D39A480A}"/>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5160-E646-883A-D259D39A480A}"/>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5160-E646-883A-D259D39A480A}"/>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5160-E646-883A-D259D39A480A}"/>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5160-E646-883A-D259D39A480A}"/>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5160-E646-883A-D259D39A480A}"/>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5160-E646-883A-D259D39A480A}"/>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2-5160-E646-883A-D259D39A480A}"/>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456E-3F4D-9A0D-7E20844425E5}"/>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160-E646-883A-D259D39A480A}"/>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5160-E646-883A-D259D39A480A}"/>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4-5160-E646-883A-D259D39A480A}"/>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5160-E646-883A-D259D39A480A}"/>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5160-E646-883A-D259D39A480A}"/>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160-E646-883A-D259D39A480A}"/>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456E-3F4D-9A0D-7E20844425E5}"/>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6-5160-E646-883A-D259D39A480A}"/>
              </c:ext>
            </c:extLst>
          </c:dPt>
          <c:dLbls>
            <c:dLbl>
              <c:idx val="0"/>
              <c:layout>
                <c:manualLayout>
                  <c:x val="-0.13937094975718634"/>
                  <c:y val="0.13613109105372503"/>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7-5160-E646-883A-D259D39A480A}"/>
                </c:ext>
              </c:extLst>
            </c:dLbl>
            <c:dLbl>
              <c:idx val="1"/>
              <c:layout>
                <c:manualLayout>
                  <c:x val="-8.1455586433891794E-2"/>
                  <c:y val="9.6342787090003087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8-5160-E646-883A-D259D39A480A}"/>
                </c:ext>
              </c:extLst>
            </c:dLbl>
            <c:dLbl>
              <c:idx val="2"/>
              <c:layout>
                <c:manualLayout>
                  <c:x val="-5.2075092519607721E-2"/>
                  <c:y val="2.4811346400034948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9-5160-E646-883A-D259D39A480A}"/>
                </c:ext>
              </c:extLst>
            </c:dLbl>
            <c:dLbl>
              <c:idx val="3"/>
              <c:layout>
                <c:manualLayout>
                  <c:x val="-3.9395267139461676E-2"/>
                  <c:y val="-8.6650161476518925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A-5160-E646-883A-D259D39A480A}"/>
                </c:ext>
              </c:extLst>
            </c:dLbl>
            <c:dLbl>
              <c:idx val="4"/>
              <c:layout>
                <c:manualLayout>
                  <c:x val="-7.1679555617841534E-2"/>
                  <c:y val="-0.13848388754545396"/>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B-5160-E646-883A-D259D39A480A}"/>
                </c:ext>
              </c:extLst>
            </c:dLbl>
            <c:dLbl>
              <c:idx val="5"/>
              <c:layout>
                <c:manualLayout>
                  <c:x val="-9.2426215578302245E-2"/>
                  <c:y val="-0.17763863928452295"/>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C-5160-E646-883A-D259D39A480A}"/>
                </c:ext>
              </c:extLst>
            </c:dLbl>
            <c:dLbl>
              <c:idx val="6"/>
              <c:layout>
                <c:manualLayout>
                  <c:x val="3.9573188396564991E-2"/>
                  <c:y val="-0.14353588918929536"/>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C-5160-E646-883A-D259D39A480A}"/>
                </c:ext>
              </c:extLst>
            </c:dLbl>
            <c:dLbl>
              <c:idx val="7"/>
              <c:layout>
                <c:manualLayout>
                  <c:x val="0.12702780102731245"/>
                  <c:y val="-0.20448252806536188"/>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8-5160-E646-883A-D259D39A480A}"/>
                </c:ext>
              </c:extLst>
            </c:dLbl>
            <c:dLbl>
              <c:idx val="8"/>
              <c:layout>
                <c:manualLayout>
                  <c:x val="7.5068146832674751E-2"/>
                  <c:y val="-3.1588296228653216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5160-E646-883A-D259D39A480A}"/>
                </c:ext>
              </c:extLst>
            </c:dLbl>
            <c:dLbl>
              <c:idx val="9"/>
              <c:layout>
                <c:manualLayout>
                  <c:x val="8.8182361533557102E-2"/>
                  <c:y val="-5.1068288137437148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E-5160-E646-883A-D259D39A480A}"/>
                </c:ext>
              </c:extLst>
            </c:dLbl>
            <c:dLbl>
              <c:idx val="10"/>
              <c:layout>
                <c:manualLayout>
                  <c:x val="9.8213530989152448E-2"/>
                  <c:y val="-7.7358896901270194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F-5160-E646-883A-D259D39A480A}"/>
                </c:ext>
              </c:extLst>
            </c:dLbl>
            <c:dLbl>
              <c:idx val="11"/>
              <c:layout>
                <c:manualLayout>
                  <c:x val="0.12777582364746332"/>
                  <c:y val="-7.1182945230425884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0-5160-E646-883A-D259D39A480A}"/>
                </c:ext>
              </c:extLst>
            </c:dLbl>
            <c:dLbl>
              <c:idx val="12"/>
              <c:layout>
                <c:manualLayout>
                  <c:x val="0.18681876016801705"/>
                  <c:y val="-5.8343843845097047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1-5160-E646-883A-D259D39A480A}"/>
                </c:ext>
              </c:extLst>
            </c:dLbl>
            <c:dLbl>
              <c:idx val="13"/>
              <c:layout>
                <c:manualLayout>
                  <c:x val="0.21679871356062422"/>
                  <c:y val="-4.4162095880909004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2-5160-E646-883A-D259D39A480A}"/>
                </c:ext>
              </c:extLst>
            </c:dLbl>
            <c:dLbl>
              <c:idx val="15"/>
              <c:layout>
                <c:manualLayout>
                  <c:x val="0.30175755403693466"/>
                  <c:y val="-1.965333535891978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5160-E646-883A-D259D39A480A}"/>
                </c:ext>
              </c:extLst>
            </c:dLbl>
            <c:dLbl>
              <c:idx val="16"/>
              <c:layout>
                <c:manualLayout>
                  <c:x val="0.15475692865368668"/>
                  <c:y val="-2.6175417450260397E-3"/>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3-5160-E646-883A-D259D39A480A}"/>
                </c:ext>
              </c:extLst>
            </c:dLbl>
            <c:dLbl>
              <c:idx val="17"/>
              <c:layout>
                <c:manualLayout>
                  <c:x val="0.22026142016836048"/>
                  <c:y val="1.364766649944443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4-5160-E646-883A-D259D39A480A}"/>
                </c:ext>
              </c:extLst>
            </c:dLbl>
            <c:dLbl>
              <c:idx val="18"/>
              <c:layout>
                <c:manualLayout>
                  <c:x val="0.2010915679615442"/>
                  <c:y val="2.832968978200183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5-5160-E646-883A-D259D39A480A}"/>
                </c:ext>
              </c:extLst>
            </c:dLbl>
            <c:dLbl>
              <c:idx val="19"/>
              <c:layout>
                <c:manualLayout>
                  <c:x val="0.15224243377667782"/>
                  <c:y val="4.1269514006735078E-2"/>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A-5160-E646-883A-D259D39A480A}"/>
                </c:ext>
              </c:extLst>
            </c:dLbl>
            <c:dLbl>
              <c:idx val="20"/>
              <c:layout>
                <c:manualLayout>
                  <c:x val="0.2916285611255347"/>
                  <c:y val="0.10807685876070285"/>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5160-E646-883A-D259D39A480A}"/>
                </c:ext>
              </c:extLst>
            </c:dLbl>
            <c:dLbl>
              <c:idx val="22"/>
              <c:layout>
                <c:manualLayout>
                  <c:x val="0.15409886373015344"/>
                  <c:y val="0.16814787670967973"/>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6-5160-E646-883A-D259D39A480A}"/>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 Model'!$C$29:$C$51</c:f>
              <c:strCache>
                <c:ptCount val="23"/>
                <c:pt idx="0">
                  <c:v>ProShares:UltP QQQ (XNAS:TQQQ)</c:v>
                </c:pt>
                <c:pt idx="1">
                  <c:v>Vanguard TSM Idx;ETF (ARCX:VTI)</c:v>
                </c:pt>
                <c:pt idx="2">
                  <c:v>SPDR S&amp;P 500 (ARCX:SPY)</c:v>
                </c:pt>
                <c:pt idx="3">
                  <c:v>Invesco QQQ Trust 1 (XNAS:QQQ)</c:v>
                </c:pt>
                <c:pt idx="4">
                  <c:v>Vanguard InfoTch Idx;ETF (ARCX:VGT)</c:v>
                </c:pt>
                <c:pt idx="5">
                  <c:v>NVIDIA CORPORATION (XNAS:NVDA)</c:v>
                </c:pt>
                <c:pt idx="6">
                  <c:v>Meta Platforms, Inc. (XNAS:META)</c:v>
                </c:pt>
                <c:pt idx="7">
                  <c:v>ALPHABET INC. (XNAS:GOOGL)</c:v>
                </c:pt>
                <c:pt idx="8">
                  <c:v>NETFLIX, INC. (XNAS:NFLX)</c:v>
                </c:pt>
                <c:pt idx="9">
                  <c:v>TESLA, INC. (XNAS:TSLA)</c:v>
                </c:pt>
                <c:pt idx="10">
                  <c:v>APPLE INC. (XNAS:AAPL)</c:v>
                </c:pt>
                <c:pt idx="11">
                  <c:v>MICROSOFT CORPORATION (XNAS:MSFT)</c:v>
                </c:pt>
                <c:pt idx="12">
                  <c:v>AMAZON.COM, INC. (XNAS:AMZN)</c:v>
                </c:pt>
                <c:pt idx="13">
                  <c:v>CARETRUST REIT, INC. (XNYS:CTRE)</c:v>
                </c:pt>
                <c:pt idx="14">
                  <c:v>ARCHROCK INC. (XNYS:AROC)</c:v>
                </c:pt>
                <c:pt idx="15">
                  <c:v>COMFORT SYSTEMS USA, INC. (XNYS:FIX)</c:v>
                </c:pt>
                <c:pt idx="16">
                  <c:v>ENOVA INTERNATIONAL, INC. (XNYS:ENVA)</c:v>
                </c:pt>
                <c:pt idx="17">
                  <c:v>ARGAN, INC. (XNYS:AGX)</c:v>
                </c:pt>
                <c:pt idx="18">
                  <c:v>ODDITY TECH LTD (XNAS:ODD)</c:v>
                </c:pt>
                <c:pt idx="19">
                  <c:v>THE COCA-COLA COMPANY (XNYS:KO)</c:v>
                </c:pt>
                <c:pt idx="20">
                  <c:v>VERIZON COMMUNICATIONS INC. (XNYS:VZ)</c:v>
                </c:pt>
                <c:pt idx="21">
                  <c:v>JPMorgan:Eqty Prem Inc (ARCX:JEPI)</c:v>
                </c:pt>
                <c:pt idx="22">
                  <c:v>iShares:Sh Trs Bd ETF (XNAS:SHV)</c:v>
                </c:pt>
              </c:strCache>
            </c:strRef>
          </c:cat>
          <c:val>
            <c:numRef>
              <c:f>'Portfolio Model'!$E$29:$E$51</c:f>
              <c:numCache>
                <c:formatCode>0%</c:formatCode>
                <c:ptCount val="23"/>
                <c:pt idx="0">
                  <c:v>0.1</c:v>
                </c:pt>
                <c:pt idx="1">
                  <c:v>0.05</c:v>
                </c:pt>
                <c:pt idx="2">
                  <c:v>0.1</c:v>
                </c:pt>
                <c:pt idx="3">
                  <c:v>0.1</c:v>
                </c:pt>
                <c:pt idx="4">
                  <c:v>7.0000000000000007E-2</c:v>
                </c:pt>
                <c:pt idx="5">
                  <c:v>7.0000000000000007E-2</c:v>
                </c:pt>
                <c:pt idx="6">
                  <c:v>0.05</c:v>
                </c:pt>
                <c:pt idx="7">
                  <c:v>0.03</c:v>
                </c:pt>
                <c:pt idx="8">
                  <c:v>0.02</c:v>
                </c:pt>
                <c:pt idx="9">
                  <c:v>0.01</c:v>
                </c:pt>
                <c:pt idx="10">
                  <c:v>0.02</c:v>
                </c:pt>
                <c:pt idx="11">
                  <c:v>0.03</c:v>
                </c:pt>
                <c:pt idx="12">
                  <c:v>0.02</c:v>
                </c:pt>
                <c:pt idx="13">
                  <c:v>0.02</c:v>
                </c:pt>
                <c:pt idx="14">
                  <c:v>0.02</c:v>
                </c:pt>
                <c:pt idx="15">
                  <c:v>0.02</c:v>
                </c:pt>
                <c:pt idx="16">
                  <c:v>0.02</c:v>
                </c:pt>
                <c:pt idx="17">
                  <c:v>0.02</c:v>
                </c:pt>
                <c:pt idx="18">
                  <c:v>0.02</c:v>
                </c:pt>
                <c:pt idx="19">
                  <c:v>0.02</c:v>
                </c:pt>
                <c:pt idx="20">
                  <c:v>0.02</c:v>
                </c:pt>
                <c:pt idx="21">
                  <c:v>0.02</c:v>
                </c:pt>
                <c:pt idx="22">
                  <c:v>0.15</c:v>
                </c:pt>
              </c:numCache>
            </c:numRef>
          </c:val>
          <c:extLst>
            <c:ext xmlns:c16="http://schemas.microsoft.com/office/drawing/2014/chart" uri="{C3380CC4-5D6E-409C-BE32-E72D297353CC}">
              <c16:uniqueId val="{00000001-5160-E646-883A-D259D39A480A}"/>
            </c:ext>
          </c:extLst>
        </c:ser>
        <c:ser>
          <c:idx val="0"/>
          <c:order val="1"/>
          <c:tx>
            <c:strRef>
              <c:f>'Portfolio Model'!$D$27:$D$28</c:f>
              <c:strCache>
                <c:ptCount val="2"/>
                <c:pt idx="1">
                  <c:v>Price</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456E-3F4D-9A0D-7E20844425E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456E-3F4D-9A0D-7E20844425E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456E-3F4D-9A0D-7E20844425E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456E-3F4D-9A0D-7E20844425E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456E-3F4D-9A0D-7E20844425E5}"/>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456E-3F4D-9A0D-7E20844425E5}"/>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456E-3F4D-9A0D-7E20844425E5}"/>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456E-3F4D-9A0D-7E20844425E5}"/>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F-456E-3F4D-9A0D-7E20844425E5}"/>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1-456E-3F4D-9A0D-7E20844425E5}"/>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3-456E-3F4D-9A0D-7E20844425E5}"/>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5-456E-3F4D-9A0D-7E20844425E5}"/>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160-E646-883A-D259D39A480A}"/>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5160-E646-883A-D259D39A480A}"/>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160-E646-883A-D259D39A480A}"/>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D-456E-3F4D-9A0D-7E20844425E5}"/>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160-E646-883A-D259D39A480A}"/>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1-456E-3F4D-9A0D-7E20844425E5}"/>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3-456E-3F4D-9A0D-7E20844425E5}"/>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5-456E-3F4D-9A0D-7E20844425E5}"/>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7-456E-3F4D-9A0D-7E20844425E5}"/>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9-456E-3F4D-9A0D-7E20844425E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 Model'!$C$29:$C$51</c:f>
              <c:strCache>
                <c:ptCount val="23"/>
                <c:pt idx="0">
                  <c:v>ProShares:UltP QQQ (XNAS:TQQQ)</c:v>
                </c:pt>
                <c:pt idx="1">
                  <c:v>Vanguard TSM Idx;ETF (ARCX:VTI)</c:v>
                </c:pt>
                <c:pt idx="2">
                  <c:v>SPDR S&amp;P 500 (ARCX:SPY)</c:v>
                </c:pt>
                <c:pt idx="3">
                  <c:v>Invesco QQQ Trust 1 (XNAS:QQQ)</c:v>
                </c:pt>
                <c:pt idx="4">
                  <c:v>Vanguard InfoTch Idx;ETF (ARCX:VGT)</c:v>
                </c:pt>
                <c:pt idx="5">
                  <c:v>NVIDIA CORPORATION (XNAS:NVDA)</c:v>
                </c:pt>
                <c:pt idx="6">
                  <c:v>Meta Platforms, Inc. (XNAS:META)</c:v>
                </c:pt>
                <c:pt idx="7">
                  <c:v>ALPHABET INC. (XNAS:GOOGL)</c:v>
                </c:pt>
                <c:pt idx="8">
                  <c:v>NETFLIX, INC. (XNAS:NFLX)</c:v>
                </c:pt>
                <c:pt idx="9">
                  <c:v>TESLA, INC. (XNAS:TSLA)</c:v>
                </c:pt>
                <c:pt idx="10">
                  <c:v>APPLE INC. (XNAS:AAPL)</c:v>
                </c:pt>
                <c:pt idx="11">
                  <c:v>MICROSOFT CORPORATION (XNAS:MSFT)</c:v>
                </c:pt>
                <c:pt idx="12">
                  <c:v>AMAZON.COM, INC. (XNAS:AMZN)</c:v>
                </c:pt>
                <c:pt idx="13">
                  <c:v>CARETRUST REIT, INC. (XNYS:CTRE)</c:v>
                </c:pt>
                <c:pt idx="14">
                  <c:v>ARCHROCK INC. (XNYS:AROC)</c:v>
                </c:pt>
                <c:pt idx="15">
                  <c:v>COMFORT SYSTEMS USA, INC. (XNYS:FIX)</c:v>
                </c:pt>
                <c:pt idx="16">
                  <c:v>ENOVA INTERNATIONAL, INC. (XNYS:ENVA)</c:v>
                </c:pt>
                <c:pt idx="17">
                  <c:v>ARGAN, INC. (XNYS:AGX)</c:v>
                </c:pt>
                <c:pt idx="18">
                  <c:v>ODDITY TECH LTD (XNAS:ODD)</c:v>
                </c:pt>
                <c:pt idx="19">
                  <c:v>THE COCA-COLA COMPANY (XNYS:KO)</c:v>
                </c:pt>
                <c:pt idx="20">
                  <c:v>VERIZON COMMUNICATIONS INC. (XNYS:VZ)</c:v>
                </c:pt>
                <c:pt idx="21">
                  <c:v>JPMorgan:Eqty Prem Inc (ARCX:JEPI)</c:v>
                </c:pt>
                <c:pt idx="22">
                  <c:v>iShares:Sh Trs Bd ETF (XNAS:SHV)</c:v>
                </c:pt>
              </c:strCache>
            </c:strRef>
          </c:cat>
          <c:val>
            <c:numRef>
              <c:f>'Portfolio Model'!$F$29:$F$50</c:f>
              <c:numCache>
                <c:formatCode>"$"#,##0</c:formatCode>
                <c:ptCount val="22"/>
                <c:pt idx="0">
                  <c:v>10000</c:v>
                </c:pt>
                <c:pt idx="1">
                  <c:v>5000</c:v>
                </c:pt>
                <c:pt idx="2">
                  <c:v>10000</c:v>
                </c:pt>
                <c:pt idx="3">
                  <c:v>10000</c:v>
                </c:pt>
                <c:pt idx="4">
                  <c:v>7000.0000000000009</c:v>
                </c:pt>
                <c:pt idx="5">
                  <c:v>7000.0000000000009</c:v>
                </c:pt>
                <c:pt idx="6">
                  <c:v>5000</c:v>
                </c:pt>
                <c:pt idx="7">
                  <c:v>3000</c:v>
                </c:pt>
                <c:pt idx="8">
                  <c:v>2000</c:v>
                </c:pt>
                <c:pt idx="9">
                  <c:v>1000</c:v>
                </c:pt>
                <c:pt idx="10">
                  <c:v>2000</c:v>
                </c:pt>
                <c:pt idx="11">
                  <c:v>3000</c:v>
                </c:pt>
                <c:pt idx="12">
                  <c:v>2000</c:v>
                </c:pt>
                <c:pt idx="13">
                  <c:v>2000</c:v>
                </c:pt>
                <c:pt idx="14">
                  <c:v>2000</c:v>
                </c:pt>
                <c:pt idx="15">
                  <c:v>2000</c:v>
                </c:pt>
                <c:pt idx="16">
                  <c:v>2000</c:v>
                </c:pt>
                <c:pt idx="17">
                  <c:v>2000</c:v>
                </c:pt>
                <c:pt idx="18">
                  <c:v>2000</c:v>
                </c:pt>
                <c:pt idx="19">
                  <c:v>2000</c:v>
                </c:pt>
                <c:pt idx="20">
                  <c:v>2000</c:v>
                </c:pt>
                <c:pt idx="21">
                  <c:v>2000</c:v>
                </c:pt>
              </c:numCache>
            </c:numRef>
          </c:val>
          <c:extLst>
            <c:ext xmlns:c16="http://schemas.microsoft.com/office/drawing/2014/chart" uri="{C3380CC4-5D6E-409C-BE32-E72D297353CC}">
              <c16:uniqueId val="{00000000-5160-E646-883A-D259D39A480A}"/>
            </c:ext>
          </c:extLst>
        </c:ser>
        <c:ser>
          <c:idx val="2"/>
          <c:order val="2"/>
          <c:tx>
            <c:strRef>
              <c:f>'Portfolio Model'!$F$27:$F$28</c:f>
              <c:strCache>
                <c:ptCount val="2"/>
                <c:pt idx="1">
                  <c:v>$ Amount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B-456E-3F4D-9A0D-7E20844425E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D-456E-3F4D-9A0D-7E20844425E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F-456E-3F4D-9A0D-7E20844425E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456E-3F4D-9A0D-7E20844425E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456E-3F4D-9A0D-7E20844425E5}"/>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5-456E-3F4D-9A0D-7E20844425E5}"/>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456E-3F4D-9A0D-7E20844425E5}"/>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9-456E-3F4D-9A0D-7E20844425E5}"/>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B-456E-3F4D-9A0D-7E20844425E5}"/>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D-456E-3F4D-9A0D-7E20844425E5}"/>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456E-3F4D-9A0D-7E20844425E5}"/>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1-456E-3F4D-9A0D-7E20844425E5}"/>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3-456E-3F4D-9A0D-7E20844425E5}"/>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5-456E-3F4D-9A0D-7E20844425E5}"/>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7-456E-3F4D-9A0D-7E20844425E5}"/>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9-456E-3F4D-9A0D-7E20844425E5}"/>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B-456E-3F4D-9A0D-7E20844425E5}"/>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D-456E-3F4D-9A0D-7E20844425E5}"/>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F-456E-3F4D-9A0D-7E20844425E5}"/>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1-456E-3F4D-9A0D-7E20844425E5}"/>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3-456E-3F4D-9A0D-7E20844425E5}"/>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5-456E-3F4D-9A0D-7E20844425E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 Model'!$C$29:$C$51</c:f>
              <c:strCache>
                <c:ptCount val="23"/>
                <c:pt idx="0">
                  <c:v>ProShares:UltP QQQ (XNAS:TQQQ)</c:v>
                </c:pt>
                <c:pt idx="1">
                  <c:v>Vanguard TSM Idx;ETF (ARCX:VTI)</c:v>
                </c:pt>
                <c:pt idx="2">
                  <c:v>SPDR S&amp;P 500 (ARCX:SPY)</c:v>
                </c:pt>
                <c:pt idx="3">
                  <c:v>Invesco QQQ Trust 1 (XNAS:QQQ)</c:v>
                </c:pt>
                <c:pt idx="4">
                  <c:v>Vanguard InfoTch Idx;ETF (ARCX:VGT)</c:v>
                </c:pt>
                <c:pt idx="5">
                  <c:v>NVIDIA CORPORATION (XNAS:NVDA)</c:v>
                </c:pt>
                <c:pt idx="6">
                  <c:v>Meta Platforms, Inc. (XNAS:META)</c:v>
                </c:pt>
                <c:pt idx="7">
                  <c:v>ALPHABET INC. (XNAS:GOOGL)</c:v>
                </c:pt>
                <c:pt idx="8">
                  <c:v>NETFLIX, INC. (XNAS:NFLX)</c:v>
                </c:pt>
                <c:pt idx="9">
                  <c:v>TESLA, INC. (XNAS:TSLA)</c:v>
                </c:pt>
                <c:pt idx="10">
                  <c:v>APPLE INC. (XNAS:AAPL)</c:v>
                </c:pt>
                <c:pt idx="11">
                  <c:v>MICROSOFT CORPORATION (XNAS:MSFT)</c:v>
                </c:pt>
                <c:pt idx="12">
                  <c:v>AMAZON.COM, INC. (XNAS:AMZN)</c:v>
                </c:pt>
                <c:pt idx="13">
                  <c:v>CARETRUST REIT, INC. (XNYS:CTRE)</c:v>
                </c:pt>
                <c:pt idx="14">
                  <c:v>ARCHROCK INC. (XNYS:AROC)</c:v>
                </c:pt>
                <c:pt idx="15">
                  <c:v>COMFORT SYSTEMS USA, INC. (XNYS:FIX)</c:v>
                </c:pt>
                <c:pt idx="16">
                  <c:v>ENOVA INTERNATIONAL, INC. (XNYS:ENVA)</c:v>
                </c:pt>
                <c:pt idx="17">
                  <c:v>ARGAN, INC. (XNYS:AGX)</c:v>
                </c:pt>
                <c:pt idx="18">
                  <c:v>ODDITY TECH LTD (XNAS:ODD)</c:v>
                </c:pt>
                <c:pt idx="19">
                  <c:v>THE COCA-COLA COMPANY (XNYS:KO)</c:v>
                </c:pt>
                <c:pt idx="20">
                  <c:v>VERIZON COMMUNICATIONS INC. (XNYS:VZ)</c:v>
                </c:pt>
                <c:pt idx="21">
                  <c:v>JPMorgan:Eqty Prem Inc (ARCX:JEPI)</c:v>
                </c:pt>
                <c:pt idx="22">
                  <c:v>iShares:Sh Trs Bd ETF (XNAS:SHV)</c:v>
                </c:pt>
              </c:strCache>
            </c:strRef>
          </c:cat>
          <c:val>
            <c:numRef>
              <c:f>'Portfolio Model'!$F$29:$F$50</c:f>
              <c:numCache>
                <c:formatCode>"$"#,##0</c:formatCode>
                <c:ptCount val="22"/>
                <c:pt idx="0">
                  <c:v>10000</c:v>
                </c:pt>
                <c:pt idx="1">
                  <c:v>5000</c:v>
                </c:pt>
                <c:pt idx="2">
                  <c:v>10000</c:v>
                </c:pt>
                <c:pt idx="3">
                  <c:v>10000</c:v>
                </c:pt>
                <c:pt idx="4">
                  <c:v>7000.0000000000009</c:v>
                </c:pt>
                <c:pt idx="5">
                  <c:v>7000.0000000000009</c:v>
                </c:pt>
                <c:pt idx="6">
                  <c:v>5000</c:v>
                </c:pt>
                <c:pt idx="7">
                  <c:v>3000</c:v>
                </c:pt>
                <c:pt idx="8">
                  <c:v>2000</c:v>
                </c:pt>
                <c:pt idx="9">
                  <c:v>1000</c:v>
                </c:pt>
                <c:pt idx="10">
                  <c:v>2000</c:v>
                </c:pt>
                <c:pt idx="11">
                  <c:v>3000</c:v>
                </c:pt>
                <c:pt idx="12">
                  <c:v>2000</c:v>
                </c:pt>
                <c:pt idx="13">
                  <c:v>2000</c:v>
                </c:pt>
                <c:pt idx="14">
                  <c:v>2000</c:v>
                </c:pt>
                <c:pt idx="15">
                  <c:v>2000</c:v>
                </c:pt>
                <c:pt idx="16">
                  <c:v>2000</c:v>
                </c:pt>
                <c:pt idx="17">
                  <c:v>2000</c:v>
                </c:pt>
                <c:pt idx="18">
                  <c:v>2000</c:v>
                </c:pt>
                <c:pt idx="19">
                  <c:v>2000</c:v>
                </c:pt>
                <c:pt idx="20">
                  <c:v>2000</c:v>
                </c:pt>
                <c:pt idx="21">
                  <c:v>2000</c:v>
                </c:pt>
              </c:numCache>
            </c:numRef>
          </c:val>
          <c:extLst>
            <c:ext xmlns:c16="http://schemas.microsoft.com/office/drawing/2014/chart" uri="{C3380CC4-5D6E-409C-BE32-E72D297353CC}">
              <c16:uniqueId val="{00000002-5160-E646-883A-D259D39A480A}"/>
            </c:ext>
          </c:extLst>
        </c:ser>
        <c:ser>
          <c:idx val="3"/>
          <c:order val="3"/>
          <c:tx>
            <c:strRef>
              <c:f>'Portfolio Model'!$G$27:$G$28</c:f>
              <c:strCache>
                <c:ptCount val="2"/>
                <c:pt idx="1">
                  <c:v>Shares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7-456E-3F4D-9A0D-7E20844425E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9-456E-3F4D-9A0D-7E20844425E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B-456E-3F4D-9A0D-7E20844425E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D-456E-3F4D-9A0D-7E20844425E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F-456E-3F4D-9A0D-7E20844425E5}"/>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1-456E-3F4D-9A0D-7E20844425E5}"/>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3-456E-3F4D-9A0D-7E20844425E5}"/>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5-456E-3F4D-9A0D-7E20844425E5}"/>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7-456E-3F4D-9A0D-7E20844425E5}"/>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9-456E-3F4D-9A0D-7E20844425E5}"/>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B-456E-3F4D-9A0D-7E20844425E5}"/>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D-456E-3F4D-9A0D-7E20844425E5}"/>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F-456E-3F4D-9A0D-7E20844425E5}"/>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1-456E-3F4D-9A0D-7E20844425E5}"/>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3-456E-3F4D-9A0D-7E20844425E5}"/>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5-456E-3F4D-9A0D-7E20844425E5}"/>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7-456E-3F4D-9A0D-7E20844425E5}"/>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9-456E-3F4D-9A0D-7E20844425E5}"/>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B-456E-3F4D-9A0D-7E20844425E5}"/>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D-456E-3F4D-9A0D-7E20844425E5}"/>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AF-456E-3F4D-9A0D-7E20844425E5}"/>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B1-456E-3F4D-9A0D-7E20844425E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'Portfolio Model'!$C$29:$C$51</c:f>
              <c:strCache>
                <c:ptCount val="23"/>
                <c:pt idx="0">
                  <c:v>ProShares:UltP QQQ (XNAS:TQQQ)</c:v>
                </c:pt>
                <c:pt idx="1">
                  <c:v>Vanguard TSM Idx;ETF (ARCX:VTI)</c:v>
                </c:pt>
                <c:pt idx="2">
                  <c:v>SPDR S&amp;P 500 (ARCX:SPY)</c:v>
                </c:pt>
                <c:pt idx="3">
                  <c:v>Invesco QQQ Trust 1 (XNAS:QQQ)</c:v>
                </c:pt>
                <c:pt idx="4">
                  <c:v>Vanguard InfoTch Idx;ETF (ARCX:VGT)</c:v>
                </c:pt>
                <c:pt idx="5">
                  <c:v>NVIDIA CORPORATION (XNAS:NVDA)</c:v>
                </c:pt>
                <c:pt idx="6">
                  <c:v>Meta Platforms, Inc. (XNAS:META)</c:v>
                </c:pt>
                <c:pt idx="7">
                  <c:v>ALPHABET INC. (XNAS:GOOGL)</c:v>
                </c:pt>
                <c:pt idx="8">
                  <c:v>NETFLIX, INC. (XNAS:NFLX)</c:v>
                </c:pt>
                <c:pt idx="9">
                  <c:v>TESLA, INC. (XNAS:TSLA)</c:v>
                </c:pt>
                <c:pt idx="10">
                  <c:v>APPLE INC. (XNAS:AAPL)</c:v>
                </c:pt>
                <c:pt idx="11">
                  <c:v>MICROSOFT CORPORATION (XNAS:MSFT)</c:v>
                </c:pt>
                <c:pt idx="12">
                  <c:v>AMAZON.COM, INC. (XNAS:AMZN)</c:v>
                </c:pt>
                <c:pt idx="13">
                  <c:v>CARETRUST REIT, INC. (XNYS:CTRE)</c:v>
                </c:pt>
                <c:pt idx="14">
                  <c:v>ARCHROCK INC. (XNYS:AROC)</c:v>
                </c:pt>
                <c:pt idx="15">
                  <c:v>COMFORT SYSTEMS USA, INC. (XNYS:FIX)</c:v>
                </c:pt>
                <c:pt idx="16">
                  <c:v>ENOVA INTERNATIONAL, INC. (XNYS:ENVA)</c:v>
                </c:pt>
                <c:pt idx="17">
                  <c:v>ARGAN, INC. (XNYS:AGX)</c:v>
                </c:pt>
                <c:pt idx="18">
                  <c:v>ODDITY TECH LTD (XNAS:ODD)</c:v>
                </c:pt>
                <c:pt idx="19">
                  <c:v>THE COCA-COLA COMPANY (XNYS:KO)</c:v>
                </c:pt>
                <c:pt idx="20">
                  <c:v>VERIZON COMMUNICATIONS INC. (XNYS:VZ)</c:v>
                </c:pt>
                <c:pt idx="21">
                  <c:v>JPMorgan:Eqty Prem Inc (ARCX:JEPI)</c:v>
                </c:pt>
                <c:pt idx="22">
                  <c:v>iShares:Sh Trs Bd ETF (XNAS:SHV)</c:v>
                </c:pt>
              </c:strCache>
            </c:strRef>
          </c:cat>
          <c:val>
            <c:numRef>
              <c:f>'Portfolio Model'!$G$29:$G$50</c:f>
              <c:numCache>
                <c:formatCode>0.00</c:formatCode>
                <c:ptCount val="22"/>
                <c:pt idx="0">
                  <c:v>178.22135091783997</c:v>
                </c:pt>
                <c:pt idx="1">
                  <c:v>14.711507341042163</c:v>
                </c:pt>
                <c:pt idx="2">
                  <c:v>14.510207931279655</c:v>
                </c:pt>
                <c:pt idx="3">
                  <c:v>15.985165766168993</c:v>
                </c:pt>
                <c:pt idx="4">
                  <c:v>9.0166679547620898</c:v>
                </c:pt>
                <c:pt idx="5">
                  <c:v>38.688995744210473</c:v>
                </c:pt>
                <c:pt idx="6">
                  <c:v>7.660369842656003</c:v>
                </c:pt>
                <c:pt idx="7">
                  <c:v>9.6021508817975221</c:v>
                </c:pt>
                <c:pt idx="8">
                  <c:v>21.256244021681368</c:v>
                </c:pt>
                <c:pt idx="9">
                  <c:v>2.237687126585961</c:v>
                </c:pt>
                <c:pt idx="10">
                  <c:v>7.1934683307556746</c:v>
                </c:pt>
                <c:pt idx="11">
                  <c:v>6.2051419943326369</c:v>
                </c:pt>
                <c:pt idx="12">
                  <c:v>8.6850790342192106</c:v>
                </c:pt>
                <c:pt idx="13">
                  <c:v>55.663790704146955</c:v>
                </c:pt>
                <c:pt idx="14">
                  <c:v>76.132470498667686</c:v>
                </c:pt>
                <c:pt idx="15">
                  <c:v>1.9513718143855128</c:v>
                </c:pt>
                <c:pt idx="16">
                  <c:v>12.664640324214794</c:v>
                </c:pt>
                <c:pt idx="17">
                  <c:v>6.0496067755595879</c:v>
                </c:pt>
                <c:pt idx="18">
                  <c:v>45.004500450045008</c:v>
                </c:pt>
                <c:pt idx="19">
                  <c:v>28.93937201562726</c:v>
                </c:pt>
                <c:pt idx="20">
                  <c:v>49.726504226752859</c:v>
                </c:pt>
                <c:pt idx="21">
                  <c:v>34.608063678837169</c:v>
                </c:pt>
              </c:numCache>
            </c:numRef>
          </c:val>
          <c:extLst>
            <c:ext xmlns:c16="http://schemas.microsoft.com/office/drawing/2014/chart" uri="{C3380CC4-5D6E-409C-BE32-E72D297353CC}">
              <c16:uniqueId val="{00000003-5160-E646-883A-D259D39A480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l"/>
      <c:layout>
        <c:manualLayout>
          <c:xMode val="edge"/>
          <c:yMode val="edge"/>
          <c:x val="9.2505996291794259E-5"/>
          <c:y val="9.1822056990479503E-2"/>
          <c:w val="0.26003457688244169"/>
          <c:h val="0.8646119078820337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1" Type="http://schemas.openxmlformats.org/officeDocument/2006/relationships/customXml" Target="../ink/ink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2.xml"/></Relationships>
</file>

<file path=xl/drawings/drawing1.xml><?xml version="1.0" encoding="utf-8"?>
<xdr:wsDr xmlns:xdr="http://schemas.openxmlformats.org/drawingml/2006/spreadsheetDrawing" xmlns:a="http://schemas.openxmlformats.org/drawingml/2006/main">
  <xdr:twoCellAnchor>
    <xdr:from>
      <xdr:col>11</xdr:col>
      <xdr:colOff>38060</xdr:colOff>
      <xdr:row>14</xdr:row>
      <xdr:rowOff>10855</xdr:rowOff>
    </xdr:from>
    <xdr:to>
      <xdr:col>11</xdr:col>
      <xdr:colOff>620143</xdr:colOff>
      <xdr:row>16</xdr:row>
      <xdr:rowOff>129917</xdr:rowOff>
    </xdr:to>
    <xdr:sp macro="" textlink="">
      <xdr:nvSpPr>
        <xdr:cNvPr id="3" name="Oval 2">
          <a:extLst>
            <a:ext uri="{FF2B5EF4-FFF2-40B4-BE49-F238E27FC236}">
              <a16:creationId xmlns:a16="http://schemas.microsoft.com/office/drawing/2014/main" id="{43ECD9F2-5BA3-2413-5B75-B2B496EA822A}"/>
            </a:ext>
          </a:extLst>
        </xdr:cNvPr>
        <xdr:cNvSpPr/>
      </xdr:nvSpPr>
      <xdr:spPr>
        <a:xfrm>
          <a:off x="10496121" y="2499018"/>
          <a:ext cx="582083" cy="53375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642595</xdr:colOff>
      <xdr:row>19</xdr:row>
      <xdr:rowOff>62418</xdr:rowOff>
    </xdr:from>
    <xdr:to>
      <xdr:col>12</xdr:col>
      <xdr:colOff>642955</xdr:colOff>
      <xdr:row>19</xdr:row>
      <xdr:rowOff>62778</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7" name="Ink 16">
              <a:extLst>
                <a:ext uri="{FF2B5EF4-FFF2-40B4-BE49-F238E27FC236}">
                  <a16:creationId xmlns:a16="http://schemas.microsoft.com/office/drawing/2014/main" id="{5E4382A0-AF0F-0C66-6536-A6BB17CF9FE6}"/>
                </a:ext>
              </a:extLst>
            </xdr14:cNvPr>
            <xdr14:cNvContentPartPr/>
          </xdr14:nvContentPartPr>
          <xdr14:nvPr macro=""/>
          <xdr14:xfrm>
            <a:off x="3328200" y="2586240"/>
            <a:ext cx="360" cy="360"/>
          </xdr14:xfrm>
        </xdr:contentPart>
      </mc:Choice>
      <mc:Fallback xmlns="">
        <xdr:pic>
          <xdr:nvPicPr>
            <xdr:cNvPr id="17" name="Ink 16">
              <a:extLst>
                <a:ext uri="{FF2B5EF4-FFF2-40B4-BE49-F238E27FC236}">
                  <a16:creationId xmlns:a16="http://schemas.microsoft.com/office/drawing/2014/main" id="{5E4382A0-AF0F-0C66-6536-A6BB17CF9FE6}"/>
                </a:ext>
              </a:extLst>
            </xdr:cNvPr>
            <xdr:cNvPicPr/>
          </xdr:nvPicPr>
          <xdr:blipFill>
            <a:blip xmlns:r="http://schemas.openxmlformats.org/officeDocument/2006/relationships" r:embed="rId3"/>
            <a:stretch>
              <a:fillRect/>
            </a:stretch>
          </xdr:blipFill>
          <xdr:spPr>
            <a:xfrm>
              <a:off x="3310200" y="2568600"/>
              <a:ext cx="36000" cy="36000"/>
            </a:xfrm>
            <a:prstGeom prst="rect">
              <a:avLst/>
            </a:prstGeom>
          </xdr:spPr>
        </xdr:pic>
      </mc:Fallback>
    </mc:AlternateContent>
    <xdr:clientData/>
  </xdr:twoCellAnchor>
  <xdr:twoCellAnchor>
    <xdr:from>
      <xdr:col>12</xdr:col>
      <xdr:colOff>644484</xdr:colOff>
      <xdr:row>19</xdr:row>
      <xdr:rowOff>130050</xdr:rowOff>
    </xdr:from>
    <xdr:to>
      <xdr:col>12</xdr:col>
      <xdr:colOff>648510</xdr:colOff>
      <xdr:row>23</xdr:row>
      <xdr:rowOff>40532</xdr:rowOff>
    </xdr:to>
    <xdr:cxnSp macro="">
      <xdr:nvCxnSpPr>
        <xdr:cNvPr id="33" name="Straight Connector 32">
          <a:extLst>
            <a:ext uri="{FF2B5EF4-FFF2-40B4-BE49-F238E27FC236}">
              <a16:creationId xmlns:a16="http://schemas.microsoft.com/office/drawing/2014/main" id="{D3D9A424-30B0-3AE0-E778-777C4BD48E8C}"/>
            </a:ext>
          </a:extLst>
        </xdr:cNvPr>
        <xdr:cNvCxnSpPr/>
      </xdr:nvCxnSpPr>
      <xdr:spPr>
        <a:xfrm>
          <a:off x="3346612" y="2588986"/>
          <a:ext cx="4026" cy="66707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10</xdr:col>
      <xdr:colOff>499894</xdr:colOff>
      <xdr:row>23</xdr:row>
      <xdr:rowOff>40532</xdr:rowOff>
    </xdr:from>
    <xdr:to>
      <xdr:col>12</xdr:col>
      <xdr:colOff>680720</xdr:colOff>
      <xdr:row>23</xdr:row>
      <xdr:rowOff>40640</xdr:rowOff>
    </xdr:to>
    <xdr:cxnSp macro="">
      <xdr:nvCxnSpPr>
        <xdr:cNvPr id="42" name="Straight Connector 41">
          <a:extLst>
            <a:ext uri="{FF2B5EF4-FFF2-40B4-BE49-F238E27FC236}">
              <a16:creationId xmlns:a16="http://schemas.microsoft.com/office/drawing/2014/main" id="{52CF9F10-4988-204E-9620-30146C9065B8}"/>
            </a:ext>
          </a:extLst>
        </xdr:cNvPr>
        <xdr:cNvCxnSpPr/>
      </xdr:nvCxnSpPr>
      <xdr:spPr>
        <a:xfrm flipH="1" flipV="1">
          <a:off x="8404374" y="4307732"/>
          <a:ext cx="2040106" cy="10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394634</xdr:colOff>
      <xdr:row>23</xdr:row>
      <xdr:rowOff>31639</xdr:rowOff>
    </xdr:from>
    <xdr:to>
      <xdr:col>15</xdr:col>
      <xdr:colOff>397981</xdr:colOff>
      <xdr:row>26</xdr:row>
      <xdr:rowOff>167846</xdr:rowOff>
    </xdr:to>
    <xdr:cxnSp macro="">
      <xdr:nvCxnSpPr>
        <xdr:cNvPr id="43" name="Straight Connector 42">
          <a:extLst>
            <a:ext uri="{FF2B5EF4-FFF2-40B4-BE49-F238E27FC236}">
              <a16:creationId xmlns:a16="http://schemas.microsoft.com/office/drawing/2014/main" id="{07F9FD3E-7D29-A940-AA5E-3A694E5D5EB8}"/>
            </a:ext>
          </a:extLst>
        </xdr:cNvPr>
        <xdr:cNvCxnSpPr/>
      </xdr:nvCxnSpPr>
      <xdr:spPr>
        <a:xfrm flipH="1" flipV="1">
          <a:off x="15925676" y="4238514"/>
          <a:ext cx="3347" cy="73152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10</xdr:col>
      <xdr:colOff>510171</xdr:colOff>
      <xdr:row>23</xdr:row>
      <xdr:rowOff>27021</xdr:rowOff>
    </xdr:from>
    <xdr:to>
      <xdr:col>10</xdr:col>
      <xdr:colOff>513404</xdr:colOff>
      <xdr:row>26</xdr:row>
      <xdr:rowOff>163228</xdr:rowOff>
    </xdr:to>
    <xdr:cxnSp macro="">
      <xdr:nvCxnSpPr>
        <xdr:cNvPr id="45" name="Straight Connector 44">
          <a:extLst>
            <a:ext uri="{FF2B5EF4-FFF2-40B4-BE49-F238E27FC236}">
              <a16:creationId xmlns:a16="http://schemas.microsoft.com/office/drawing/2014/main" id="{922BFD76-ABCF-054C-AB1F-99F5276D2E64}"/>
            </a:ext>
          </a:extLst>
        </xdr:cNvPr>
        <xdr:cNvCxnSpPr/>
      </xdr:nvCxnSpPr>
      <xdr:spPr>
        <a:xfrm flipV="1">
          <a:off x="10432046" y="4233896"/>
          <a:ext cx="3233" cy="73152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304800</xdr:colOff>
      <xdr:row>16</xdr:row>
      <xdr:rowOff>19587</xdr:rowOff>
    </xdr:from>
    <xdr:to>
      <xdr:col>10</xdr:col>
      <xdr:colOff>457200</xdr:colOff>
      <xdr:row>34</xdr:row>
      <xdr:rowOff>19587</xdr:rowOff>
    </xdr:to>
    <xdr:cxnSp macro="">
      <xdr:nvCxnSpPr>
        <xdr:cNvPr id="90" name="Elbow Connector 89">
          <a:extLst>
            <a:ext uri="{FF2B5EF4-FFF2-40B4-BE49-F238E27FC236}">
              <a16:creationId xmlns:a16="http://schemas.microsoft.com/office/drawing/2014/main" id="{C29C581A-6442-EE54-5AE0-21B635F5EB0F}"/>
            </a:ext>
          </a:extLst>
        </xdr:cNvPr>
        <xdr:cNvCxnSpPr>
          <a:cxnSpLocks/>
        </xdr:cNvCxnSpPr>
      </xdr:nvCxnSpPr>
      <xdr:spPr>
        <a:xfrm rot="10800000" flipV="1">
          <a:off x="7071360" y="2864387"/>
          <a:ext cx="2651760" cy="3657600"/>
        </a:xfrm>
        <a:prstGeom prst="bentConnector3">
          <a:avLst>
            <a:gd name="adj1" fmla="val 86978"/>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1058721</xdr:colOff>
      <xdr:row>14</xdr:row>
      <xdr:rowOff>7747</xdr:rowOff>
    </xdr:from>
    <xdr:to>
      <xdr:col>14</xdr:col>
      <xdr:colOff>461518</xdr:colOff>
      <xdr:row>16</xdr:row>
      <xdr:rowOff>126809</xdr:rowOff>
    </xdr:to>
    <xdr:sp macro="" textlink="">
      <xdr:nvSpPr>
        <xdr:cNvPr id="10" name="Oval 9">
          <a:extLst>
            <a:ext uri="{FF2B5EF4-FFF2-40B4-BE49-F238E27FC236}">
              <a16:creationId xmlns:a16="http://schemas.microsoft.com/office/drawing/2014/main" id="{0BED28C3-FB4C-5D49-B68D-56E6AF016617}"/>
            </a:ext>
          </a:extLst>
        </xdr:cNvPr>
        <xdr:cNvSpPr/>
      </xdr:nvSpPr>
      <xdr:spPr>
        <a:xfrm>
          <a:off x="13058925" y="2495910"/>
          <a:ext cx="582083" cy="533756"/>
        </a:xfrm>
        <a:prstGeom prst="ellipse">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660918</xdr:colOff>
      <xdr:row>23</xdr:row>
      <xdr:rowOff>38877</xdr:rowOff>
    </xdr:from>
    <xdr:to>
      <xdr:col>15</xdr:col>
      <xdr:colOff>414350</xdr:colOff>
      <xdr:row>23</xdr:row>
      <xdr:rowOff>38985</xdr:rowOff>
    </xdr:to>
    <xdr:cxnSp macro="">
      <xdr:nvCxnSpPr>
        <xdr:cNvPr id="11" name="Straight Connector 10">
          <a:extLst>
            <a:ext uri="{FF2B5EF4-FFF2-40B4-BE49-F238E27FC236}">
              <a16:creationId xmlns:a16="http://schemas.microsoft.com/office/drawing/2014/main" id="{3ACA404F-E307-7D4B-854D-C1AD48660045}"/>
            </a:ext>
          </a:extLst>
        </xdr:cNvPr>
        <xdr:cNvCxnSpPr/>
      </xdr:nvCxnSpPr>
      <xdr:spPr>
        <a:xfrm flipH="1" flipV="1">
          <a:off x="11935408" y="4393163"/>
          <a:ext cx="2280473" cy="10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270214</xdr:colOff>
      <xdr:row>4</xdr:row>
      <xdr:rowOff>202659</xdr:rowOff>
    </xdr:from>
    <xdr:to>
      <xdr:col>7</xdr:col>
      <xdr:colOff>315933</xdr:colOff>
      <xdr:row>24</xdr:row>
      <xdr:rowOff>27021</xdr:rowOff>
    </xdr:to>
    <xdr:sp macro="" textlink="">
      <xdr:nvSpPr>
        <xdr:cNvPr id="12" name="Right Bracket 11">
          <a:extLst>
            <a:ext uri="{FF2B5EF4-FFF2-40B4-BE49-F238E27FC236}">
              <a16:creationId xmlns:a16="http://schemas.microsoft.com/office/drawing/2014/main" id="{6922F96C-8994-FA82-7196-E061072093D1}"/>
            </a:ext>
          </a:extLst>
        </xdr:cNvPr>
        <xdr:cNvSpPr/>
      </xdr:nvSpPr>
      <xdr:spPr>
        <a:xfrm>
          <a:off x="7697174" y="609059"/>
          <a:ext cx="45719" cy="3929002"/>
        </a:xfrm>
        <a:prstGeom prst="rightBracket">
          <a:avLst/>
        </a:prstGeom>
      </xdr:spPr>
      <xdr:style>
        <a:lnRef idx="2">
          <a:schemeClr val="dk1"/>
        </a:lnRef>
        <a:fillRef idx="0">
          <a:schemeClr val="dk1"/>
        </a:fillRef>
        <a:effectRef idx="1">
          <a:schemeClr val="dk1"/>
        </a:effectRef>
        <a:fontRef idx="minor">
          <a:schemeClr val="tx1"/>
        </a:fontRef>
      </xdr:style>
      <xdr:txBody>
        <a:bodyPr rtlCol="0" anchor="ctr"/>
        <a:lstStyle/>
        <a:p>
          <a:pPr algn="l"/>
          <a:endParaRPr lang="en-US" sz="1100"/>
        </a:p>
      </xdr:txBody>
    </xdr:sp>
    <xdr:clientData/>
  </xdr:twoCellAnchor>
  <xdr:twoCellAnchor>
    <xdr:from>
      <xdr:col>7</xdr:col>
      <xdr:colOff>270212</xdr:colOff>
      <xdr:row>26</xdr:row>
      <xdr:rowOff>27021</xdr:rowOff>
    </xdr:from>
    <xdr:to>
      <xdr:col>7</xdr:col>
      <xdr:colOff>315931</xdr:colOff>
      <xdr:row>41</xdr:row>
      <xdr:rowOff>54046</xdr:rowOff>
    </xdr:to>
    <xdr:sp macro="" textlink="">
      <xdr:nvSpPr>
        <xdr:cNvPr id="13" name="Right Bracket 12">
          <a:extLst>
            <a:ext uri="{FF2B5EF4-FFF2-40B4-BE49-F238E27FC236}">
              <a16:creationId xmlns:a16="http://schemas.microsoft.com/office/drawing/2014/main" id="{4ABBAAB0-60DE-7F41-9C02-885F748E0C11}"/>
            </a:ext>
          </a:extLst>
        </xdr:cNvPr>
        <xdr:cNvSpPr/>
      </xdr:nvSpPr>
      <xdr:spPr>
        <a:xfrm>
          <a:off x="7052552" y="4890851"/>
          <a:ext cx="45719" cy="3066918"/>
        </a:xfrm>
        <a:prstGeom prst="rightBracket">
          <a:avLst/>
        </a:prstGeom>
      </xdr:spPr>
      <xdr:style>
        <a:lnRef idx="2">
          <a:schemeClr val="dk1"/>
        </a:lnRef>
        <a:fillRef idx="0">
          <a:schemeClr val="dk1"/>
        </a:fillRef>
        <a:effectRef idx="1">
          <a:schemeClr val="dk1"/>
        </a:effectRef>
        <a:fontRef idx="minor">
          <a:schemeClr val="tx1"/>
        </a:fontRef>
      </xdr:style>
      <xdr:txBody>
        <a:bodyPr rtlCol="0" anchor="ctr"/>
        <a:lstStyle/>
        <a:p>
          <a:pPr algn="l"/>
          <a:endParaRPr lang="en-US" sz="1100"/>
        </a:p>
      </xdr:txBody>
    </xdr:sp>
    <xdr:clientData/>
  </xdr:twoCellAnchor>
  <xdr:twoCellAnchor>
    <xdr:from>
      <xdr:col>10</xdr:col>
      <xdr:colOff>440266</xdr:colOff>
      <xdr:row>15</xdr:row>
      <xdr:rowOff>177800</xdr:rowOff>
    </xdr:from>
    <xdr:to>
      <xdr:col>10</xdr:col>
      <xdr:colOff>531706</xdr:colOff>
      <xdr:row>16</xdr:row>
      <xdr:rowOff>66040</xdr:rowOff>
    </xdr:to>
    <xdr:sp macro="" textlink="">
      <xdr:nvSpPr>
        <xdr:cNvPr id="114" name="Oval 113">
          <a:extLst>
            <a:ext uri="{FF2B5EF4-FFF2-40B4-BE49-F238E27FC236}">
              <a16:creationId xmlns:a16="http://schemas.microsoft.com/office/drawing/2014/main" id="{4C757B2E-1583-F684-8125-CA6287D6F830}"/>
            </a:ext>
          </a:extLst>
        </xdr:cNvPr>
        <xdr:cNvSpPr>
          <a:spLocks noChangeAspect="1"/>
        </xdr:cNvSpPr>
      </xdr:nvSpPr>
      <xdr:spPr>
        <a:xfrm>
          <a:off x="9728199" y="2819400"/>
          <a:ext cx="91440" cy="9144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304800</xdr:colOff>
      <xdr:row>10</xdr:row>
      <xdr:rowOff>182880</xdr:rowOff>
    </xdr:from>
    <xdr:to>
      <xdr:col>10</xdr:col>
      <xdr:colOff>538480</xdr:colOff>
      <xdr:row>15</xdr:row>
      <xdr:rowOff>50800</xdr:rowOff>
    </xdr:to>
    <xdr:cxnSp macro="">
      <xdr:nvCxnSpPr>
        <xdr:cNvPr id="22" name="Elbow Connector 21">
          <a:extLst>
            <a:ext uri="{FF2B5EF4-FFF2-40B4-BE49-F238E27FC236}">
              <a16:creationId xmlns:a16="http://schemas.microsoft.com/office/drawing/2014/main" id="{ED737345-C9B5-6113-B8C2-56FE17B44938}"/>
            </a:ext>
          </a:extLst>
        </xdr:cNvPr>
        <xdr:cNvCxnSpPr/>
      </xdr:nvCxnSpPr>
      <xdr:spPr>
        <a:xfrm>
          <a:off x="7071360" y="1808480"/>
          <a:ext cx="2733040" cy="883920"/>
        </a:xfrm>
        <a:prstGeom prst="bentConnector3">
          <a:avLst>
            <a:gd name="adj1" fmla="val 13197"/>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18</xdr:col>
      <xdr:colOff>878122</xdr:colOff>
      <xdr:row>5</xdr:row>
      <xdr:rowOff>19779</xdr:rowOff>
    </xdr:from>
    <xdr:to>
      <xdr:col>18</xdr:col>
      <xdr:colOff>911141</xdr:colOff>
      <xdr:row>24</xdr:row>
      <xdr:rowOff>47341</xdr:rowOff>
    </xdr:to>
    <xdr:sp macro="" textlink="">
      <xdr:nvSpPr>
        <xdr:cNvPr id="28" name="Right Bracket 27">
          <a:extLst>
            <a:ext uri="{FF2B5EF4-FFF2-40B4-BE49-F238E27FC236}">
              <a16:creationId xmlns:a16="http://schemas.microsoft.com/office/drawing/2014/main" id="{C773F5E3-A175-AE4F-8DF8-5BF6D7C861CD}"/>
            </a:ext>
          </a:extLst>
        </xdr:cNvPr>
        <xdr:cNvSpPr/>
      </xdr:nvSpPr>
      <xdr:spPr>
        <a:xfrm flipH="1" flipV="1">
          <a:off x="18772422" y="629379"/>
          <a:ext cx="33019" cy="3926462"/>
        </a:xfrm>
        <a:prstGeom prst="rightBracket">
          <a:avLst/>
        </a:prstGeom>
      </xdr:spPr>
      <xdr:style>
        <a:lnRef idx="2">
          <a:schemeClr val="dk1"/>
        </a:lnRef>
        <a:fillRef idx="0">
          <a:schemeClr val="dk1"/>
        </a:fillRef>
        <a:effectRef idx="1">
          <a:schemeClr val="dk1"/>
        </a:effectRef>
        <a:fontRef idx="minor">
          <a:schemeClr val="tx1"/>
        </a:fontRef>
      </xdr:style>
      <xdr:txBody>
        <a:bodyPr rtlCol="0" anchor="ctr"/>
        <a:lstStyle/>
        <a:p>
          <a:pPr algn="l"/>
          <a:endParaRPr lang="en-US" sz="1100"/>
        </a:p>
      </xdr:txBody>
    </xdr:sp>
    <xdr:clientData/>
  </xdr:twoCellAnchor>
  <xdr:twoCellAnchor>
    <xdr:from>
      <xdr:col>18</xdr:col>
      <xdr:colOff>854412</xdr:colOff>
      <xdr:row>26</xdr:row>
      <xdr:rowOff>1621</xdr:rowOff>
    </xdr:from>
    <xdr:to>
      <xdr:col>18</xdr:col>
      <xdr:colOff>900131</xdr:colOff>
      <xdr:row>41</xdr:row>
      <xdr:rowOff>28646</xdr:rowOff>
    </xdr:to>
    <xdr:sp macro="" textlink="">
      <xdr:nvSpPr>
        <xdr:cNvPr id="29" name="Right Bracket 28">
          <a:extLst>
            <a:ext uri="{FF2B5EF4-FFF2-40B4-BE49-F238E27FC236}">
              <a16:creationId xmlns:a16="http://schemas.microsoft.com/office/drawing/2014/main" id="{D981D4A7-FC66-7248-96F2-10773EF8AD2E}"/>
            </a:ext>
          </a:extLst>
        </xdr:cNvPr>
        <xdr:cNvSpPr/>
      </xdr:nvSpPr>
      <xdr:spPr>
        <a:xfrm flipH="1" flipV="1">
          <a:off x="18748712" y="4916521"/>
          <a:ext cx="45719" cy="3075025"/>
        </a:xfrm>
        <a:prstGeom prst="rightBracket">
          <a:avLst/>
        </a:prstGeom>
      </xdr:spPr>
      <xdr:style>
        <a:lnRef idx="2">
          <a:schemeClr val="dk1"/>
        </a:lnRef>
        <a:fillRef idx="0">
          <a:schemeClr val="dk1"/>
        </a:fillRef>
        <a:effectRef idx="1">
          <a:schemeClr val="dk1"/>
        </a:effectRef>
        <a:fontRef idx="minor">
          <a:schemeClr val="tx1"/>
        </a:fontRef>
      </xdr:style>
      <xdr:txBody>
        <a:bodyPr rtlCol="0" anchor="ctr"/>
        <a:lstStyle/>
        <a:p>
          <a:pPr algn="l"/>
          <a:endParaRPr lang="en-US" sz="1100"/>
        </a:p>
      </xdr:txBody>
    </xdr:sp>
    <xdr:clientData/>
  </xdr:twoCellAnchor>
  <xdr:twoCellAnchor>
    <xdr:from>
      <xdr:col>15</xdr:col>
      <xdr:colOff>375614</xdr:colOff>
      <xdr:row>10</xdr:row>
      <xdr:rowOff>182880</xdr:rowOff>
    </xdr:from>
    <xdr:to>
      <xdr:col>18</xdr:col>
      <xdr:colOff>884460</xdr:colOff>
      <xdr:row>15</xdr:row>
      <xdr:rowOff>50800</xdr:rowOff>
    </xdr:to>
    <xdr:cxnSp macro="">
      <xdr:nvCxnSpPr>
        <xdr:cNvPr id="30" name="Elbow Connector 29">
          <a:extLst>
            <a:ext uri="{FF2B5EF4-FFF2-40B4-BE49-F238E27FC236}">
              <a16:creationId xmlns:a16="http://schemas.microsoft.com/office/drawing/2014/main" id="{25FC8526-631B-7545-A813-4B50AE6020E3}"/>
            </a:ext>
          </a:extLst>
        </xdr:cNvPr>
        <xdr:cNvCxnSpPr/>
      </xdr:nvCxnSpPr>
      <xdr:spPr>
        <a:xfrm flipH="1">
          <a:off x="15895014" y="1808480"/>
          <a:ext cx="2883746" cy="922020"/>
        </a:xfrm>
        <a:prstGeom prst="bentConnector3">
          <a:avLst>
            <a:gd name="adj1" fmla="val 13197"/>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707710</xdr:colOff>
      <xdr:row>27</xdr:row>
      <xdr:rowOff>175341</xdr:rowOff>
    </xdr:from>
    <xdr:to>
      <xdr:col>14</xdr:col>
      <xdr:colOff>193893</xdr:colOff>
      <xdr:row>29</xdr:row>
      <xdr:rowOff>58167</xdr:rowOff>
    </xdr:to>
    <xdr:cxnSp macro="">
      <xdr:nvCxnSpPr>
        <xdr:cNvPr id="38" name="Straight Connector 37">
          <a:extLst>
            <a:ext uri="{FF2B5EF4-FFF2-40B4-BE49-F238E27FC236}">
              <a16:creationId xmlns:a16="http://schemas.microsoft.com/office/drawing/2014/main" id="{152E56A0-497B-1372-7C4F-C473A7CBD29B}"/>
            </a:ext>
          </a:extLst>
        </xdr:cNvPr>
        <xdr:cNvCxnSpPr/>
      </xdr:nvCxnSpPr>
      <xdr:spPr>
        <a:xfrm>
          <a:off x="14105725" y="5139005"/>
          <a:ext cx="620458" cy="290002"/>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13</xdr:col>
      <xdr:colOff>87252</xdr:colOff>
      <xdr:row>27</xdr:row>
      <xdr:rowOff>184199</xdr:rowOff>
    </xdr:from>
    <xdr:to>
      <xdr:col>13</xdr:col>
      <xdr:colOff>707710</xdr:colOff>
      <xdr:row>29</xdr:row>
      <xdr:rowOff>67025</xdr:rowOff>
    </xdr:to>
    <xdr:cxnSp macro="">
      <xdr:nvCxnSpPr>
        <xdr:cNvPr id="40" name="Straight Connector 39">
          <a:extLst>
            <a:ext uri="{FF2B5EF4-FFF2-40B4-BE49-F238E27FC236}">
              <a16:creationId xmlns:a16="http://schemas.microsoft.com/office/drawing/2014/main" id="{7FD83BC1-1377-304E-A069-ADA1CAB733FE}"/>
            </a:ext>
          </a:extLst>
        </xdr:cNvPr>
        <xdr:cNvCxnSpPr/>
      </xdr:nvCxnSpPr>
      <xdr:spPr>
        <a:xfrm flipV="1">
          <a:off x="13485267" y="5147863"/>
          <a:ext cx="620458" cy="290002"/>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204838</xdr:colOff>
      <xdr:row>29</xdr:row>
      <xdr:rowOff>40968</xdr:rowOff>
    </xdr:from>
    <xdr:to>
      <xdr:col>14</xdr:col>
      <xdr:colOff>204839</xdr:colOff>
      <xdr:row>32</xdr:row>
      <xdr:rowOff>13656</xdr:rowOff>
    </xdr:to>
    <xdr:cxnSp macro="">
      <xdr:nvCxnSpPr>
        <xdr:cNvPr id="41" name="Straight Connector 40">
          <a:extLst>
            <a:ext uri="{FF2B5EF4-FFF2-40B4-BE49-F238E27FC236}">
              <a16:creationId xmlns:a16="http://schemas.microsoft.com/office/drawing/2014/main" id="{7F73EB78-080B-4949-B700-2E299809495E}"/>
            </a:ext>
          </a:extLst>
        </xdr:cNvPr>
        <xdr:cNvCxnSpPr/>
      </xdr:nvCxnSpPr>
      <xdr:spPr>
        <a:xfrm>
          <a:off x="14734730" y="5448710"/>
          <a:ext cx="1" cy="587204"/>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13</xdr:col>
      <xdr:colOff>95590</xdr:colOff>
      <xdr:row>29</xdr:row>
      <xdr:rowOff>40969</xdr:rowOff>
    </xdr:from>
    <xdr:to>
      <xdr:col>13</xdr:col>
      <xdr:colOff>95591</xdr:colOff>
      <xdr:row>32</xdr:row>
      <xdr:rowOff>13657</xdr:rowOff>
    </xdr:to>
    <xdr:cxnSp macro="">
      <xdr:nvCxnSpPr>
        <xdr:cNvPr id="47" name="Straight Connector 46">
          <a:extLst>
            <a:ext uri="{FF2B5EF4-FFF2-40B4-BE49-F238E27FC236}">
              <a16:creationId xmlns:a16="http://schemas.microsoft.com/office/drawing/2014/main" id="{524163D4-A43D-2A45-875D-0B542DB87545}"/>
            </a:ext>
          </a:extLst>
        </xdr:cNvPr>
        <xdr:cNvCxnSpPr/>
      </xdr:nvCxnSpPr>
      <xdr:spPr>
        <a:xfrm>
          <a:off x="13492042" y="5448711"/>
          <a:ext cx="1" cy="587204"/>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13</xdr:col>
      <xdr:colOff>88764</xdr:colOff>
      <xdr:row>32</xdr:row>
      <xdr:rowOff>0</xdr:rowOff>
    </xdr:from>
    <xdr:to>
      <xdr:col>14</xdr:col>
      <xdr:colOff>218495</xdr:colOff>
      <xdr:row>32</xdr:row>
      <xdr:rowOff>0</xdr:rowOff>
    </xdr:to>
    <xdr:cxnSp macro="">
      <xdr:nvCxnSpPr>
        <xdr:cNvPr id="48" name="Straight Connector 47">
          <a:extLst>
            <a:ext uri="{FF2B5EF4-FFF2-40B4-BE49-F238E27FC236}">
              <a16:creationId xmlns:a16="http://schemas.microsoft.com/office/drawing/2014/main" id="{491A900E-9CAB-954C-9704-9F40FEA65DB0}"/>
            </a:ext>
          </a:extLst>
        </xdr:cNvPr>
        <xdr:cNvCxnSpPr/>
      </xdr:nvCxnSpPr>
      <xdr:spPr>
        <a:xfrm flipH="1">
          <a:off x="13493581" y="6044136"/>
          <a:ext cx="1260097" cy="0"/>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203200</xdr:colOff>
      <xdr:row>31</xdr:row>
      <xdr:rowOff>177800</xdr:rowOff>
    </xdr:from>
    <xdr:to>
      <xdr:col>14</xdr:col>
      <xdr:colOff>203201</xdr:colOff>
      <xdr:row>35</xdr:row>
      <xdr:rowOff>23368</xdr:rowOff>
    </xdr:to>
    <xdr:cxnSp macro="">
      <xdr:nvCxnSpPr>
        <xdr:cNvPr id="51" name="Straight Connector 50">
          <a:extLst>
            <a:ext uri="{FF2B5EF4-FFF2-40B4-BE49-F238E27FC236}">
              <a16:creationId xmlns:a16="http://schemas.microsoft.com/office/drawing/2014/main" id="{2B15FC7E-AD52-9E4F-A081-0E49AC71950B}"/>
            </a:ext>
          </a:extLst>
        </xdr:cNvPr>
        <xdr:cNvCxnSpPr/>
      </xdr:nvCxnSpPr>
      <xdr:spPr>
        <a:xfrm>
          <a:off x="14744700" y="5943600"/>
          <a:ext cx="1" cy="658368"/>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13</xdr:col>
      <xdr:colOff>96035</xdr:colOff>
      <xdr:row>31</xdr:row>
      <xdr:rowOff>177800</xdr:rowOff>
    </xdr:from>
    <xdr:to>
      <xdr:col>13</xdr:col>
      <xdr:colOff>96036</xdr:colOff>
      <xdr:row>35</xdr:row>
      <xdr:rowOff>23368</xdr:rowOff>
    </xdr:to>
    <xdr:cxnSp macro="">
      <xdr:nvCxnSpPr>
        <xdr:cNvPr id="52" name="Straight Connector 51">
          <a:extLst>
            <a:ext uri="{FF2B5EF4-FFF2-40B4-BE49-F238E27FC236}">
              <a16:creationId xmlns:a16="http://schemas.microsoft.com/office/drawing/2014/main" id="{50C6E7A0-AE15-3A48-86D7-8FA7A925956A}"/>
            </a:ext>
          </a:extLst>
        </xdr:cNvPr>
        <xdr:cNvCxnSpPr/>
      </xdr:nvCxnSpPr>
      <xdr:spPr>
        <a:xfrm>
          <a:off x="13488114" y="6056901"/>
          <a:ext cx="1" cy="644669"/>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13</xdr:col>
      <xdr:colOff>83336</xdr:colOff>
      <xdr:row>35</xdr:row>
      <xdr:rowOff>23488</xdr:rowOff>
    </xdr:from>
    <xdr:to>
      <xdr:col>14</xdr:col>
      <xdr:colOff>217905</xdr:colOff>
      <xdr:row>35</xdr:row>
      <xdr:rowOff>25400</xdr:rowOff>
    </xdr:to>
    <xdr:cxnSp macro="">
      <xdr:nvCxnSpPr>
        <xdr:cNvPr id="54" name="Straight Connector 53">
          <a:extLst>
            <a:ext uri="{FF2B5EF4-FFF2-40B4-BE49-F238E27FC236}">
              <a16:creationId xmlns:a16="http://schemas.microsoft.com/office/drawing/2014/main" id="{13AF713C-A0D5-DE48-B6C1-B6B5740F5897}"/>
            </a:ext>
          </a:extLst>
        </xdr:cNvPr>
        <xdr:cNvCxnSpPr/>
      </xdr:nvCxnSpPr>
      <xdr:spPr>
        <a:xfrm flipH="1" flipV="1">
          <a:off x="13475415" y="6701690"/>
          <a:ext cx="1261872" cy="1912"/>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12</xdr:col>
      <xdr:colOff>415184</xdr:colOff>
      <xdr:row>27</xdr:row>
      <xdr:rowOff>175341</xdr:rowOff>
    </xdr:from>
    <xdr:to>
      <xdr:col>12</xdr:col>
      <xdr:colOff>1028670</xdr:colOff>
      <xdr:row>29</xdr:row>
      <xdr:rowOff>58167</xdr:rowOff>
    </xdr:to>
    <xdr:cxnSp macro="">
      <xdr:nvCxnSpPr>
        <xdr:cNvPr id="58" name="Straight Connector 57">
          <a:extLst>
            <a:ext uri="{FF2B5EF4-FFF2-40B4-BE49-F238E27FC236}">
              <a16:creationId xmlns:a16="http://schemas.microsoft.com/office/drawing/2014/main" id="{A892C041-0FCA-B046-B814-A175AE6899B8}"/>
            </a:ext>
          </a:extLst>
        </xdr:cNvPr>
        <xdr:cNvCxnSpPr/>
      </xdr:nvCxnSpPr>
      <xdr:spPr>
        <a:xfrm>
          <a:off x="12679959" y="5255341"/>
          <a:ext cx="613486" cy="282377"/>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936298</xdr:colOff>
      <xdr:row>27</xdr:row>
      <xdr:rowOff>177064</xdr:rowOff>
    </xdr:from>
    <xdr:to>
      <xdr:col>12</xdr:col>
      <xdr:colOff>429453</xdr:colOff>
      <xdr:row>29</xdr:row>
      <xdr:rowOff>59890</xdr:rowOff>
    </xdr:to>
    <xdr:cxnSp macro="">
      <xdr:nvCxnSpPr>
        <xdr:cNvPr id="59" name="Straight Connector 58">
          <a:extLst>
            <a:ext uri="{FF2B5EF4-FFF2-40B4-BE49-F238E27FC236}">
              <a16:creationId xmlns:a16="http://schemas.microsoft.com/office/drawing/2014/main" id="{901E8B28-B72E-4C46-BD17-111E28588B44}"/>
            </a:ext>
          </a:extLst>
        </xdr:cNvPr>
        <xdr:cNvCxnSpPr/>
      </xdr:nvCxnSpPr>
      <xdr:spPr>
        <a:xfrm flipV="1">
          <a:off x="12073770" y="5257064"/>
          <a:ext cx="620458" cy="282377"/>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12</xdr:col>
      <xdr:colOff>1039613</xdr:colOff>
      <xdr:row>29</xdr:row>
      <xdr:rowOff>40968</xdr:rowOff>
    </xdr:from>
    <xdr:to>
      <xdr:col>12</xdr:col>
      <xdr:colOff>1039614</xdr:colOff>
      <xdr:row>32</xdr:row>
      <xdr:rowOff>13656</xdr:rowOff>
    </xdr:to>
    <xdr:cxnSp macro="">
      <xdr:nvCxnSpPr>
        <xdr:cNvPr id="60" name="Straight Connector 59">
          <a:extLst>
            <a:ext uri="{FF2B5EF4-FFF2-40B4-BE49-F238E27FC236}">
              <a16:creationId xmlns:a16="http://schemas.microsoft.com/office/drawing/2014/main" id="{92013C50-00C6-C54E-8561-ADA4AE0174E7}"/>
            </a:ext>
          </a:extLst>
        </xdr:cNvPr>
        <xdr:cNvCxnSpPr/>
      </xdr:nvCxnSpPr>
      <xdr:spPr>
        <a:xfrm>
          <a:off x="13304388" y="5520519"/>
          <a:ext cx="1" cy="572013"/>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951770</xdr:colOff>
      <xdr:row>29</xdr:row>
      <xdr:rowOff>40969</xdr:rowOff>
    </xdr:from>
    <xdr:to>
      <xdr:col>11</xdr:col>
      <xdr:colOff>951771</xdr:colOff>
      <xdr:row>32</xdr:row>
      <xdr:rowOff>13657</xdr:rowOff>
    </xdr:to>
    <xdr:cxnSp macro="">
      <xdr:nvCxnSpPr>
        <xdr:cNvPr id="61" name="Straight Connector 60">
          <a:extLst>
            <a:ext uri="{FF2B5EF4-FFF2-40B4-BE49-F238E27FC236}">
              <a16:creationId xmlns:a16="http://schemas.microsoft.com/office/drawing/2014/main" id="{4F00A4BC-E11C-734C-9006-29FFC20FABBD}"/>
            </a:ext>
          </a:extLst>
        </xdr:cNvPr>
        <xdr:cNvCxnSpPr/>
      </xdr:nvCxnSpPr>
      <xdr:spPr>
        <a:xfrm>
          <a:off x="12089242" y="5520520"/>
          <a:ext cx="1" cy="572013"/>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944944</xdr:colOff>
      <xdr:row>35</xdr:row>
      <xdr:rowOff>14270</xdr:rowOff>
    </xdr:from>
    <xdr:to>
      <xdr:col>12</xdr:col>
      <xdr:colOff>1061225</xdr:colOff>
      <xdr:row>35</xdr:row>
      <xdr:rowOff>14270</xdr:rowOff>
    </xdr:to>
    <xdr:cxnSp macro="">
      <xdr:nvCxnSpPr>
        <xdr:cNvPr id="62" name="Straight Connector 61">
          <a:extLst>
            <a:ext uri="{FF2B5EF4-FFF2-40B4-BE49-F238E27FC236}">
              <a16:creationId xmlns:a16="http://schemas.microsoft.com/office/drawing/2014/main" id="{9809AAA6-77C4-E343-92D9-2E999DCCF559}"/>
            </a:ext>
          </a:extLst>
        </xdr:cNvPr>
        <xdr:cNvCxnSpPr/>
      </xdr:nvCxnSpPr>
      <xdr:spPr>
        <a:xfrm flipH="1">
          <a:off x="12082416" y="6692472"/>
          <a:ext cx="1243584" cy="0"/>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12</xdr:col>
      <xdr:colOff>1037977</xdr:colOff>
      <xdr:row>31</xdr:row>
      <xdr:rowOff>177800</xdr:rowOff>
    </xdr:from>
    <xdr:to>
      <xdr:col>12</xdr:col>
      <xdr:colOff>1037978</xdr:colOff>
      <xdr:row>35</xdr:row>
      <xdr:rowOff>23368</xdr:rowOff>
    </xdr:to>
    <xdr:cxnSp macro="">
      <xdr:nvCxnSpPr>
        <xdr:cNvPr id="63" name="Straight Connector 62">
          <a:extLst>
            <a:ext uri="{FF2B5EF4-FFF2-40B4-BE49-F238E27FC236}">
              <a16:creationId xmlns:a16="http://schemas.microsoft.com/office/drawing/2014/main" id="{3B75E777-554F-8043-B7F6-4E54D385B7A2}"/>
            </a:ext>
          </a:extLst>
        </xdr:cNvPr>
        <xdr:cNvCxnSpPr/>
      </xdr:nvCxnSpPr>
      <xdr:spPr>
        <a:xfrm>
          <a:off x="13302752" y="6056901"/>
          <a:ext cx="1" cy="644669"/>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952218</xdr:colOff>
      <xdr:row>31</xdr:row>
      <xdr:rowOff>177800</xdr:rowOff>
    </xdr:from>
    <xdr:to>
      <xdr:col>11</xdr:col>
      <xdr:colOff>952219</xdr:colOff>
      <xdr:row>35</xdr:row>
      <xdr:rowOff>23368</xdr:rowOff>
    </xdr:to>
    <xdr:cxnSp macro="">
      <xdr:nvCxnSpPr>
        <xdr:cNvPr id="64" name="Straight Connector 63">
          <a:extLst>
            <a:ext uri="{FF2B5EF4-FFF2-40B4-BE49-F238E27FC236}">
              <a16:creationId xmlns:a16="http://schemas.microsoft.com/office/drawing/2014/main" id="{EB773566-BF99-7C42-BC30-13287B268B75}"/>
            </a:ext>
          </a:extLst>
        </xdr:cNvPr>
        <xdr:cNvCxnSpPr/>
      </xdr:nvCxnSpPr>
      <xdr:spPr>
        <a:xfrm>
          <a:off x="12089690" y="6056901"/>
          <a:ext cx="1" cy="644669"/>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948932</xdr:colOff>
      <xdr:row>31</xdr:row>
      <xdr:rowOff>199775</xdr:rowOff>
    </xdr:from>
    <xdr:to>
      <xdr:col>12</xdr:col>
      <xdr:colOff>1056069</xdr:colOff>
      <xdr:row>31</xdr:row>
      <xdr:rowOff>199775</xdr:rowOff>
    </xdr:to>
    <xdr:cxnSp macro="">
      <xdr:nvCxnSpPr>
        <xdr:cNvPr id="70" name="Straight Connector 69">
          <a:extLst>
            <a:ext uri="{FF2B5EF4-FFF2-40B4-BE49-F238E27FC236}">
              <a16:creationId xmlns:a16="http://schemas.microsoft.com/office/drawing/2014/main" id="{10D20C01-6114-3B48-A897-8D5189CE2EB2}"/>
            </a:ext>
          </a:extLst>
        </xdr:cNvPr>
        <xdr:cNvCxnSpPr/>
      </xdr:nvCxnSpPr>
      <xdr:spPr>
        <a:xfrm flipH="1">
          <a:off x="12086404" y="6078876"/>
          <a:ext cx="1234440" cy="0"/>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15</xdr:col>
      <xdr:colOff>467139</xdr:colOff>
      <xdr:row>16</xdr:row>
      <xdr:rowOff>1104</xdr:rowOff>
    </xdr:from>
    <xdr:to>
      <xdr:col>18</xdr:col>
      <xdr:colOff>835439</xdr:colOff>
      <xdr:row>34</xdr:row>
      <xdr:rowOff>1104</xdr:rowOff>
    </xdr:to>
    <xdr:cxnSp macro="">
      <xdr:nvCxnSpPr>
        <xdr:cNvPr id="78" name="Elbow Connector 77">
          <a:extLst>
            <a:ext uri="{FF2B5EF4-FFF2-40B4-BE49-F238E27FC236}">
              <a16:creationId xmlns:a16="http://schemas.microsoft.com/office/drawing/2014/main" id="{469934D1-24D8-8D46-9747-1E7D4807B0B6}"/>
            </a:ext>
          </a:extLst>
        </xdr:cNvPr>
        <xdr:cNvCxnSpPr>
          <a:cxnSpLocks/>
        </xdr:cNvCxnSpPr>
      </xdr:nvCxnSpPr>
      <xdr:spPr>
        <a:xfrm rot="10800000" flipH="1" flipV="1">
          <a:off x="15986539" y="2884004"/>
          <a:ext cx="2743200" cy="3657600"/>
        </a:xfrm>
        <a:prstGeom prst="bentConnector3">
          <a:avLst>
            <a:gd name="adj1" fmla="val 88070"/>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15</xdr:col>
      <xdr:colOff>406400</xdr:colOff>
      <xdr:row>15</xdr:row>
      <xdr:rowOff>165100</xdr:rowOff>
    </xdr:from>
    <xdr:to>
      <xdr:col>15</xdr:col>
      <xdr:colOff>497840</xdr:colOff>
      <xdr:row>16</xdr:row>
      <xdr:rowOff>53340</xdr:rowOff>
    </xdr:to>
    <xdr:sp macro="" textlink="">
      <xdr:nvSpPr>
        <xdr:cNvPr id="80" name="Oval 79">
          <a:extLst>
            <a:ext uri="{FF2B5EF4-FFF2-40B4-BE49-F238E27FC236}">
              <a16:creationId xmlns:a16="http://schemas.microsoft.com/office/drawing/2014/main" id="{E8C97198-9E3B-EF44-8A26-7594EAEBC832}"/>
            </a:ext>
          </a:extLst>
        </xdr:cNvPr>
        <xdr:cNvSpPr>
          <a:spLocks noChangeAspect="1"/>
        </xdr:cNvSpPr>
      </xdr:nvSpPr>
      <xdr:spPr>
        <a:xfrm>
          <a:off x="15925800" y="2844800"/>
          <a:ext cx="91440" cy="91440"/>
        </a:xfrm>
        <a:prstGeom prst="ellipse">
          <a:avLst/>
        </a:prstGeom>
        <a:solidFill>
          <a:schemeClr val="accent5">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28740</xdr:colOff>
      <xdr:row>19</xdr:row>
      <xdr:rowOff>201006</xdr:rowOff>
    </xdr:from>
    <xdr:to>
      <xdr:col>4</xdr:col>
      <xdr:colOff>152399</xdr:colOff>
      <xdr:row>38</xdr:row>
      <xdr:rowOff>25400</xdr:rowOff>
    </xdr:to>
    <xdr:graphicFrame macro="">
      <xdr:nvGraphicFramePr>
        <xdr:cNvPr id="14" name="Chart 13">
          <a:extLst>
            <a:ext uri="{FF2B5EF4-FFF2-40B4-BE49-F238E27FC236}">
              <a16:creationId xmlns:a16="http://schemas.microsoft.com/office/drawing/2014/main" id="{1D051844-A841-0947-2F02-33A40EC12F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688309</xdr:colOff>
      <xdr:row>33</xdr:row>
      <xdr:rowOff>23519</xdr:rowOff>
    </xdr:from>
    <xdr:to>
      <xdr:col>8</xdr:col>
      <xdr:colOff>689877</xdr:colOff>
      <xdr:row>34</xdr:row>
      <xdr:rowOff>95250</xdr:rowOff>
    </xdr:to>
    <xdr:cxnSp macro="">
      <xdr:nvCxnSpPr>
        <xdr:cNvPr id="2" name="Straight Connector 1">
          <a:extLst>
            <a:ext uri="{FF2B5EF4-FFF2-40B4-BE49-F238E27FC236}">
              <a16:creationId xmlns:a16="http://schemas.microsoft.com/office/drawing/2014/main" id="{16A2B141-DC59-1C48-A062-B0E432C6942E}"/>
            </a:ext>
          </a:extLst>
        </xdr:cNvPr>
        <xdr:cNvCxnSpPr/>
      </xdr:nvCxnSpPr>
      <xdr:spPr>
        <a:xfrm flipH="1">
          <a:off x="6466025" y="7753272"/>
          <a:ext cx="1568" cy="25987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1092386</xdr:colOff>
      <xdr:row>34</xdr:row>
      <xdr:rowOff>98228</xdr:rowOff>
    </xdr:from>
    <xdr:to>
      <xdr:col>7</xdr:col>
      <xdr:colOff>1092386</xdr:colOff>
      <xdr:row>35</xdr:row>
      <xdr:rowOff>187128</xdr:rowOff>
    </xdr:to>
    <xdr:cxnSp macro="">
      <xdr:nvCxnSpPr>
        <xdr:cNvPr id="14" name="Straight Connector 13">
          <a:extLst>
            <a:ext uri="{FF2B5EF4-FFF2-40B4-BE49-F238E27FC236}">
              <a16:creationId xmlns:a16="http://schemas.microsoft.com/office/drawing/2014/main" id="{30EC48F1-B1DC-AB4D-A432-9D7F75F0E1F1}"/>
            </a:ext>
          </a:extLst>
        </xdr:cNvPr>
        <xdr:cNvCxnSpPr/>
      </xdr:nvCxnSpPr>
      <xdr:spPr>
        <a:xfrm>
          <a:off x="5399912" y="8052094"/>
          <a:ext cx="0" cy="27874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696148</xdr:colOff>
      <xdr:row>34</xdr:row>
      <xdr:rowOff>95250</xdr:rowOff>
    </xdr:from>
    <xdr:to>
      <xdr:col>9</xdr:col>
      <xdr:colOff>510618</xdr:colOff>
      <xdr:row>34</xdr:row>
      <xdr:rowOff>98196</xdr:rowOff>
    </xdr:to>
    <xdr:cxnSp macro="">
      <xdr:nvCxnSpPr>
        <xdr:cNvPr id="17" name="Straight Connector 16">
          <a:extLst>
            <a:ext uri="{FF2B5EF4-FFF2-40B4-BE49-F238E27FC236}">
              <a16:creationId xmlns:a16="http://schemas.microsoft.com/office/drawing/2014/main" id="{75B1843F-97A0-E34D-9251-413EF2BEAEFC}"/>
            </a:ext>
          </a:extLst>
        </xdr:cNvPr>
        <xdr:cNvCxnSpPr/>
      </xdr:nvCxnSpPr>
      <xdr:spPr>
        <a:xfrm flipH="1" flipV="1">
          <a:off x="6476612" y="8049116"/>
          <a:ext cx="1097563" cy="294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501949</xdr:colOff>
      <xdr:row>34</xdr:row>
      <xdr:rowOff>103483</xdr:rowOff>
    </xdr:from>
    <xdr:to>
      <xdr:col>9</xdr:col>
      <xdr:colOff>501949</xdr:colOff>
      <xdr:row>36</xdr:row>
      <xdr:rowOff>2537</xdr:rowOff>
    </xdr:to>
    <xdr:cxnSp macro="">
      <xdr:nvCxnSpPr>
        <xdr:cNvPr id="20" name="Straight Connector 19">
          <a:extLst>
            <a:ext uri="{FF2B5EF4-FFF2-40B4-BE49-F238E27FC236}">
              <a16:creationId xmlns:a16="http://schemas.microsoft.com/office/drawing/2014/main" id="{D72F40AF-B118-0D48-B323-DB5453A1C0C0}"/>
            </a:ext>
          </a:extLst>
        </xdr:cNvPr>
        <xdr:cNvCxnSpPr/>
      </xdr:nvCxnSpPr>
      <xdr:spPr>
        <a:xfrm>
          <a:off x="7565506" y="8057349"/>
          <a:ext cx="0" cy="27874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701767</xdr:colOff>
      <xdr:row>37</xdr:row>
      <xdr:rowOff>24816</xdr:rowOff>
    </xdr:from>
    <xdr:to>
      <xdr:col>7</xdr:col>
      <xdr:colOff>701767</xdr:colOff>
      <xdr:row>38</xdr:row>
      <xdr:rowOff>96077</xdr:rowOff>
    </xdr:to>
    <xdr:cxnSp macro="">
      <xdr:nvCxnSpPr>
        <xdr:cNvPr id="38" name="Straight Connector 37">
          <a:extLst>
            <a:ext uri="{FF2B5EF4-FFF2-40B4-BE49-F238E27FC236}">
              <a16:creationId xmlns:a16="http://schemas.microsoft.com/office/drawing/2014/main" id="{24FBC45F-BB5D-104E-86E5-0D1E311D7B06}"/>
            </a:ext>
          </a:extLst>
        </xdr:cNvPr>
        <xdr:cNvCxnSpPr/>
      </xdr:nvCxnSpPr>
      <xdr:spPr>
        <a:xfrm>
          <a:off x="10121695" y="7242802"/>
          <a:ext cx="0" cy="26313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339685</xdr:colOff>
      <xdr:row>38</xdr:row>
      <xdr:rowOff>109165</xdr:rowOff>
    </xdr:from>
    <xdr:to>
      <xdr:col>7</xdr:col>
      <xdr:colOff>339685</xdr:colOff>
      <xdr:row>39</xdr:row>
      <xdr:rowOff>186854</xdr:rowOff>
    </xdr:to>
    <xdr:cxnSp macro="">
      <xdr:nvCxnSpPr>
        <xdr:cNvPr id="43" name="Straight Connector 42">
          <a:extLst>
            <a:ext uri="{FF2B5EF4-FFF2-40B4-BE49-F238E27FC236}">
              <a16:creationId xmlns:a16="http://schemas.microsoft.com/office/drawing/2014/main" id="{C7678D48-BF59-1143-970C-ED5818BA71AB}"/>
            </a:ext>
          </a:extLst>
        </xdr:cNvPr>
        <xdr:cNvCxnSpPr/>
      </xdr:nvCxnSpPr>
      <xdr:spPr>
        <a:xfrm flipV="1">
          <a:off x="4647211" y="8822412"/>
          <a:ext cx="0" cy="26753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8</xdr:col>
      <xdr:colOff>212962</xdr:colOff>
      <xdr:row>38</xdr:row>
      <xdr:rowOff>101914</xdr:rowOff>
    </xdr:from>
    <xdr:to>
      <xdr:col>8</xdr:col>
      <xdr:colOff>212962</xdr:colOff>
      <xdr:row>39</xdr:row>
      <xdr:rowOff>179604</xdr:rowOff>
    </xdr:to>
    <xdr:cxnSp macro="">
      <xdr:nvCxnSpPr>
        <xdr:cNvPr id="46" name="Straight Connector 45">
          <a:extLst>
            <a:ext uri="{FF2B5EF4-FFF2-40B4-BE49-F238E27FC236}">
              <a16:creationId xmlns:a16="http://schemas.microsoft.com/office/drawing/2014/main" id="{CE23A386-8BB6-124E-9E15-BB4763D915CC}"/>
            </a:ext>
          </a:extLst>
        </xdr:cNvPr>
        <xdr:cNvCxnSpPr/>
      </xdr:nvCxnSpPr>
      <xdr:spPr>
        <a:xfrm flipV="1">
          <a:off x="9999433" y="7516473"/>
          <a:ext cx="0" cy="264455"/>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686735</xdr:colOff>
      <xdr:row>37</xdr:row>
      <xdr:rowOff>28042</xdr:rowOff>
    </xdr:from>
    <xdr:to>
      <xdr:col>9</xdr:col>
      <xdr:colOff>686735</xdr:colOff>
      <xdr:row>38</xdr:row>
      <xdr:rowOff>99303</xdr:rowOff>
    </xdr:to>
    <xdr:cxnSp macro="">
      <xdr:nvCxnSpPr>
        <xdr:cNvPr id="59" name="Straight Connector 58">
          <a:extLst>
            <a:ext uri="{FF2B5EF4-FFF2-40B4-BE49-F238E27FC236}">
              <a16:creationId xmlns:a16="http://schemas.microsoft.com/office/drawing/2014/main" id="{17446049-9709-EB47-872A-4B9E4A84D96F}"/>
            </a:ext>
          </a:extLst>
        </xdr:cNvPr>
        <xdr:cNvCxnSpPr/>
      </xdr:nvCxnSpPr>
      <xdr:spPr>
        <a:xfrm>
          <a:off x="7750292" y="8551444"/>
          <a:ext cx="0" cy="26110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258664</xdr:colOff>
      <xdr:row>38</xdr:row>
      <xdr:rowOff>93615</xdr:rowOff>
    </xdr:from>
    <xdr:to>
      <xdr:col>10</xdr:col>
      <xdr:colOff>198011</xdr:colOff>
      <xdr:row>38</xdr:row>
      <xdr:rowOff>95591</xdr:rowOff>
    </xdr:to>
    <xdr:cxnSp macro="">
      <xdr:nvCxnSpPr>
        <xdr:cNvPr id="60" name="Straight Connector 59">
          <a:extLst>
            <a:ext uri="{FF2B5EF4-FFF2-40B4-BE49-F238E27FC236}">
              <a16:creationId xmlns:a16="http://schemas.microsoft.com/office/drawing/2014/main" id="{16BE09A8-F0D6-884E-9DD4-1426252C9325}"/>
            </a:ext>
          </a:extLst>
        </xdr:cNvPr>
        <xdr:cNvCxnSpPr/>
      </xdr:nvCxnSpPr>
      <xdr:spPr>
        <a:xfrm flipH="1" flipV="1">
          <a:off x="7318772" y="8874368"/>
          <a:ext cx="799669" cy="197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9</xdr:col>
      <xdr:colOff>257595</xdr:colOff>
      <xdr:row>38</xdr:row>
      <xdr:rowOff>89936</xdr:rowOff>
    </xdr:from>
    <xdr:to>
      <xdr:col>9</xdr:col>
      <xdr:colOff>257595</xdr:colOff>
      <xdr:row>39</xdr:row>
      <xdr:rowOff>167626</xdr:rowOff>
    </xdr:to>
    <xdr:cxnSp macro="">
      <xdr:nvCxnSpPr>
        <xdr:cNvPr id="62" name="Straight Connector 61">
          <a:extLst>
            <a:ext uri="{FF2B5EF4-FFF2-40B4-BE49-F238E27FC236}">
              <a16:creationId xmlns:a16="http://schemas.microsoft.com/office/drawing/2014/main" id="{51ED2961-16C4-574C-91E7-B68E858C8875}"/>
            </a:ext>
          </a:extLst>
        </xdr:cNvPr>
        <xdr:cNvCxnSpPr/>
      </xdr:nvCxnSpPr>
      <xdr:spPr>
        <a:xfrm flipV="1">
          <a:off x="7317703" y="8870689"/>
          <a:ext cx="0" cy="26887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10</xdr:col>
      <xdr:colOff>183373</xdr:colOff>
      <xdr:row>38</xdr:row>
      <xdr:rowOff>87723</xdr:rowOff>
    </xdr:from>
    <xdr:to>
      <xdr:col>10</xdr:col>
      <xdr:colOff>185762</xdr:colOff>
      <xdr:row>39</xdr:row>
      <xdr:rowOff>185746</xdr:rowOff>
    </xdr:to>
    <xdr:cxnSp macro="">
      <xdr:nvCxnSpPr>
        <xdr:cNvPr id="63" name="Straight Connector 62">
          <a:extLst>
            <a:ext uri="{FF2B5EF4-FFF2-40B4-BE49-F238E27FC236}">
              <a16:creationId xmlns:a16="http://schemas.microsoft.com/office/drawing/2014/main" id="{D4E60DA7-6C81-6A49-AC28-254BFE29118C}"/>
            </a:ext>
          </a:extLst>
        </xdr:cNvPr>
        <xdr:cNvCxnSpPr/>
      </xdr:nvCxnSpPr>
      <xdr:spPr>
        <a:xfrm flipV="1">
          <a:off x="8111053" y="8800970"/>
          <a:ext cx="2389" cy="28786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1093247</xdr:colOff>
      <xdr:row>34</xdr:row>
      <xdr:rowOff>91649</xdr:rowOff>
    </xdr:from>
    <xdr:to>
      <xdr:col>8</xdr:col>
      <xdr:colOff>717872</xdr:colOff>
      <xdr:row>34</xdr:row>
      <xdr:rowOff>94595</xdr:rowOff>
    </xdr:to>
    <xdr:cxnSp macro="">
      <xdr:nvCxnSpPr>
        <xdr:cNvPr id="71" name="Straight Connector 70">
          <a:extLst>
            <a:ext uri="{FF2B5EF4-FFF2-40B4-BE49-F238E27FC236}">
              <a16:creationId xmlns:a16="http://schemas.microsoft.com/office/drawing/2014/main" id="{E9DED13F-A99C-9541-8401-2FDCD9FF4CDA}"/>
            </a:ext>
          </a:extLst>
        </xdr:cNvPr>
        <xdr:cNvCxnSpPr/>
      </xdr:nvCxnSpPr>
      <xdr:spPr>
        <a:xfrm flipH="1" flipV="1">
          <a:off x="5400773" y="8045515"/>
          <a:ext cx="1097563" cy="294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321734</xdr:colOff>
      <xdr:row>38</xdr:row>
      <xdr:rowOff>116909</xdr:rowOff>
    </xdr:from>
    <xdr:to>
      <xdr:col>8</xdr:col>
      <xdr:colOff>214779</xdr:colOff>
      <xdr:row>38</xdr:row>
      <xdr:rowOff>121397</xdr:rowOff>
    </xdr:to>
    <xdr:cxnSp macro="">
      <xdr:nvCxnSpPr>
        <xdr:cNvPr id="74" name="Straight Connector 73">
          <a:extLst>
            <a:ext uri="{FF2B5EF4-FFF2-40B4-BE49-F238E27FC236}">
              <a16:creationId xmlns:a16="http://schemas.microsoft.com/office/drawing/2014/main" id="{2A9E1CF8-8784-6B44-8198-F4AE6A877E94}"/>
            </a:ext>
          </a:extLst>
        </xdr:cNvPr>
        <xdr:cNvCxnSpPr/>
      </xdr:nvCxnSpPr>
      <xdr:spPr>
        <a:xfrm flipH="1" flipV="1">
          <a:off x="9286440" y="7531468"/>
          <a:ext cx="714810" cy="448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622300</xdr:colOff>
      <xdr:row>33</xdr:row>
      <xdr:rowOff>25400</xdr:rowOff>
    </xdr:from>
    <xdr:to>
      <xdr:col>12</xdr:col>
      <xdr:colOff>623868</xdr:colOff>
      <xdr:row>34</xdr:row>
      <xdr:rowOff>97131</xdr:rowOff>
    </xdr:to>
    <xdr:cxnSp macro="">
      <xdr:nvCxnSpPr>
        <xdr:cNvPr id="75" name="Straight Connector 74">
          <a:extLst>
            <a:ext uri="{FF2B5EF4-FFF2-40B4-BE49-F238E27FC236}">
              <a16:creationId xmlns:a16="http://schemas.microsoft.com/office/drawing/2014/main" id="{74431C93-EF47-1540-ACF5-5222A1447D78}"/>
            </a:ext>
          </a:extLst>
        </xdr:cNvPr>
        <xdr:cNvCxnSpPr/>
      </xdr:nvCxnSpPr>
      <xdr:spPr>
        <a:xfrm flipH="1">
          <a:off x="10845800" y="7810500"/>
          <a:ext cx="1568" cy="26223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762000</xdr:colOff>
      <xdr:row>34</xdr:row>
      <xdr:rowOff>81280</xdr:rowOff>
    </xdr:from>
    <xdr:to>
      <xdr:col>12</xdr:col>
      <xdr:colOff>623336</xdr:colOff>
      <xdr:row>34</xdr:row>
      <xdr:rowOff>84110</xdr:rowOff>
    </xdr:to>
    <xdr:cxnSp macro="">
      <xdr:nvCxnSpPr>
        <xdr:cNvPr id="4" name="Straight Connector 2">
          <a:extLst>
            <a:ext uri="{FF2B5EF4-FFF2-40B4-BE49-F238E27FC236}">
              <a16:creationId xmlns:a16="http://schemas.microsoft.com/office/drawing/2014/main" id="{2A858F09-D6F4-2648-BE26-1FA9D79EC981}"/>
            </a:ext>
          </a:extLst>
        </xdr:cNvPr>
        <xdr:cNvCxnSpPr/>
      </xdr:nvCxnSpPr>
      <xdr:spPr>
        <a:xfrm flipH="1">
          <a:off x="10160000" y="8128000"/>
          <a:ext cx="684296" cy="283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609600</xdr:colOff>
      <xdr:row>34</xdr:row>
      <xdr:rowOff>81280</xdr:rowOff>
    </xdr:from>
    <xdr:to>
      <xdr:col>13</xdr:col>
      <xdr:colOff>470936</xdr:colOff>
      <xdr:row>34</xdr:row>
      <xdr:rowOff>84110</xdr:rowOff>
    </xdr:to>
    <xdr:cxnSp macro="">
      <xdr:nvCxnSpPr>
        <xdr:cNvPr id="5" name="Straight Connector 2">
          <a:extLst>
            <a:ext uri="{FF2B5EF4-FFF2-40B4-BE49-F238E27FC236}">
              <a16:creationId xmlns:a16="http://schemas.microsoft.com/office/drawing/2014/main" id="{61AB5342-D0FD-A543-B4E2-0D3E78C3FA4F}"/>
            </a:ext>
          </a:extLst>
        </xdr:cNvPr>
        <xdr:cNvCxnSpPr/>
      </xdr:nvCxnSpPr>
      <xdr:spPr>
        <a:xfrm flipH="1">
          <a:off x="10830560" y="8128000"/>
          <a:ext cx="684296" cy="283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457200</xdr:colOff>
      <xdr:row>34</xdr:row>
      <xdr:rowOff>71120</xdr:rowOff>
    </xdr:from>
    <xdr:to>
      <xdr:col>13</xdr:col>
      <xdr:colOff>457200</xdr:colOff>
      <xdr:row>35</xdr:row>
      <xdr:rowOff>163214</xdr:rowOff>
    </xdr:to>
    <xdr:cxnSp macro="">
      <xdr:nvCxnSpPr>
        <xdr:cNvPr id="6" name="Straight Connector 5">
          <a:extLst>
            <a:ext uri="{FF2B5EF4-FFF2-40B4-BE49-F238E27FC236}">
              <a16:creationId xmlns:a16="http://schemas.microsoft.com/office/drawing/2014/main" id="{7435F62E-CB39-6B42-879E-209FC680928F}"/>
            </a:ext>
          </a:extLst>
        </xdr:cNvPr>
        <xdr:cNvCxnSpPr/>
      </xdr:nvCxnSpPr>
      <xdr:spPr>
        <a:xfrm>
          <a:off x="11501120" y="8117840"/>
          <a:ext cx="0" cy="285134"/>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772160</xdr:colOff>
      <xdr:row>34</xdr:row>
      <xdr:rowOff>81280</xdr:rowOff>
    </xdr:from>
    <xdr:to>
      <xdr:col>11</xdr:col>
      <xdr:colOff>772160</xdr:colOff>
      <xdr:row>35</xdr:row>
      <xdr:rowOff>173374</xdr:rowOff>
    </xdr:to>
    <xdr:cxnSp macro="">
      <xdr:nvCxnSpPr>
        <xdr:cNvPr id="7" name="Straight Connector 6">
          <a:extLst>
            <a:ext uri="{FF2B5EF4-FFF2-40B4-BE49-F238E27FC236}">
              <a16:creationId xmlns:a16="http://schemas.microsoft.com/office/drawing/2014/main" id="{84B09BBD-D941-D145-8490-A9A06D6CFE83}"/>
            </a:ext>
          </a:extLst>
        </xdr:cNvPr>
        <xdr:cNvCxnSpPr/>
      </xdr:nvCxnSpPr>
      <xdr:spPr>
        <a:xfrm>
          <a:off x="10170160" y="8128000"/>
          <a:ext cx="0" cy="285134"/>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366857</xdr:colOff>
      <xdr:row>37</xdr:row>
      <xdr:rowOff>9137</xdr:rowOff>
    </xdr:from>
    <xdr:to>
      <xdr:col>11</xdr:col>
      <xdr:colOff>366857</xdr:colOff>
      <xdr:row>38</xdr:row>
      <xdr:rowOff>80398</xdr:rowOff>
    </xdr:to>
    <xdr:cxnSp macro="">
      <xdr:nvCxnSpPr>
        <xdr:cNvPr id="8" name="Straight Connector 7">
          <a:extLst>
            <a:ext uri="{FF2B5EF4-FFF2-40B4-BE49-F238E27FC236}">
              <a16:creationId xmlns:a16="http://schemas.microsoft.com/office/drawing/2014/main" id="{F707E07B-6D69-F54B-B751-C1E447CA6ACB}"/>
            </a:ext>
          </a:extLst>
        </xdr:cNvPr>
        <xdr:cNvCxnSpPr/>
      </xdr:nvCxnSpPr>
      <xdr:spPr>
        <a:xfrm>
          <a:off x="13770382" y="7227123"/>
          <a:ext cx="0" cy="26313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50800</xdr:colOff>
      <xdr:row>38</xdr:row>
      <xdr:rowOff>60960</xdr:rowOff>
    </xdr:from>
    <xdr:to>
      <xdr:col>12</xdr:col>
      <xdr:colOff>30787</xdr:colOff>
      <xdr:row>38</xdr:row>
      <xdr:rowOff>62936</xdr:rowOff>
    </xdr:to>
    <xdr:cxnSp macro="">
      <xdr:nvCxnSpPr>
        <xdr:cNvPr id="9" name="Straight Connector 8">
          <a:extLst>
            <a:ext uri="{FF2B5EF4-FFF2-40B4-BE49-F238E27FC236}">
              <a16:creationId xmlns:a16="http://schemas.microsoft.com/office/drawing/2014/main" id="{961E99DA-6C3F-1644-AB59-DC15415A879A}"/>
            </a:ext>
          </a:extLst>
        </xdr:cNvPr>
        <xdr:cNvCxnSpPr/>
      </xdr:nvCxnSpPr>
      <xdr:spPr>
        <a:xfrm flipH="1" flipV="1">
          <a:off x="9448800" y="8879840"/>
          <a:ext cx="802947" cy="197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50800</xdr:colOff>
      <xdr:row>38</xdr:row>
      <xdr:rowOff>60960</xdr:rowOff>
    </xdr:from>
    <xdr:to>
      <xdr:col>11</xdr:col>
      <xdr:colOff>50800</xdr:colOff>
      <xdr:row>39</xdr:row>
      <xdr:rowOff>138650</xdr:rowOff>
    </xdr:to>
    <xdr:cxnSp macro="">
      <xdr:nvCxnSpPr>
        <xdr:cNvPr id="10" name="Straight Connector 9">
          <a:extLst>
            <a:ext uri="{FF2B5EF4-FFF2-40B4-BE49-F238E27FC236}">
              <a16:creationId xmlns:a16="http://schemas.microsoft.com/office/drawing/2014/main" id="{DA9B83F7-3D92-AD42-A4E4-CC22B947BC19}"/>
            </a:ext>
          </a:extLst>
        </xdr:cNvPr>
        <xdr:cNvCxnSpPr/>
      </xdr:nvCxnSpPr>
      <xdr:spPr>
        <a:xfrm flipV="1">
          <a:off x="9448800" y="8879840"/>
          <a:ext cx="0" cy="27073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12</xdr:col>
      <xdr:colOff>20320</xdr:colOff>
      <xdr:row>38</xdr:row>
      <xdr:rowOff>71120</xdr:rowOff>
    </xdr:from>
    <xdr:to>
      <xdr:col>12</xdr:col>
      <xdr:colOff>20320</xdr:colOff>
      <xdr:row>39</xdr:row>
      <xdr:rowOff>148810</xdr:rowOff>
    </xdr:to>
    <xdr:cxnSp macro="">
      <xdr:nvCxnSpPr>
        <xdr:cNvPr id="11" name="Straight Connector 10">
          <a:extLst>
            <a:ext uri="{FF2B5EF4-FFF2-40B4-BE49-F238E27FC236}">
              <a16:creationId xmlns:a16="http://schemas.microsoft.com/office/drawing/2014/main" id="{D56EB4B9-25EF-C447-8706-202E1F515277}"/>
            </a:ext>
          </a:extLst>
        </xdr:cNvPr>
        <xdr:cNvCxnSpPr/>
      </xdr:nvCxnSpPr>
      <xdr:spPr>
        <a:xfrm flipV="1">
          <a:off x="10241280" y="8890000"/>
          <a:ext cx="0" cy="27073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626923</xdr:colOff>
      <xdr:row>37</xdr:row>
      <xdr:rowOff>0</xdr:rowOff>
    </xdr:from>
    <xdr:to>
      <xdr:col>13</xdr:col>
      <xdr:colOff>626923</xdr:colOff>
      <xdr:row>38</xdr:row>
      <xdr:rowOff>71261</xdr:rowOff>
    </xdr:to>
    <xdr:cxnSp macro="">
      <xdr:nvCxnSpPr>
        <xdr:cNvPr id="12" name="Straight Connector 11">
          <a:extLst>
            <a:ext uri="{FF2B5EF4-FFF2-40B4-BE49-F238E27FC236}">
              <a16:creationId xmlns:a16="http://schemas.microsoft.com/office/drawing/2014/main" id="{004AD6A5-EBC6-444C-945B-7821B1E37CEE}"/>
            </a:ext>
          </a:extLst>
        </xdr:cNvPr>
        <xdr:cNvCxnSpPr/>
      </xdr:nvCxnSpPr>
      <xdr:spPr>
        <a:xfrm>
          <a:off x="15565412" y="7217986"/>
          <a:ext cx="0" cy="263131"/>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254000</xdr:colOff>
      <xdr:row>38</xdr:row>
      <xdr:rowOff>60960</xdr:rowOff>
    </xdr:from>
    <xdr:to>
      <xdr:col>14</xdr:col>
      <xdr:colOff>193347</xdr:colOff>
      <xdr:row>38</xdr:row>
      <xdr:rowOff>62936</xdr:rowOff>
    </xdr:to>
    <xdr:cxnSp macro="">
      <xdr:nvCxnSpPr>
        <xdr:cNvPr id="13" name="Straight Connector 12">
          <a:extLst>
            <a:ext uri="{FF2B5EF4-FFF2-40B4-BE49-F238E27FC236}">
              <a16:creationId xmlns:a16="http://schemas.microsoft.com/office/drawing/2014/main" id="{EC87537B-FA8E-8A43-B008-AAE82F3FBA78}"/>
            </a:ext>
          </a:extLst>
        </xdr:cNvPr>
        <xdr:cNvCxnSpPr/>
      </xdr:nvCxnSpPr>
      <xdr:spPr>
        <a:xfrm flipH="1" flipV="1">
          <a:off x="11297920" y="8879840"/>
          <a:ext cx="802947" cy="197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254000</xdr:colOff>
      <xdr:row>38</xdr:row>
      <xdr:rowOff>60960</xdr:rowOff>
    </xdr:from>
    <xdr:to>
      <xdr:col>13</xdr:col>
      <xdr:colOff>254000</xdr:colOff>
      <xdr:row>39</xdr:row>
      <xdr:rowOff>138650</xdr:rowOff>
    </xdr:to>
    <xdr:cxnSp macro="">
      <xdr:nvCxnSpPr>
        <xdr:cNvPr id="15" name="Straight Connector 14">
          <a:extLst>
            <a:ext uri="{FF2B5EF4-FFF2-40B4-BE49-F238E27FC236}">
              <a16:creationId xmlns:a16="http://schemas.microsoft.com/office/drawing/2014/main" id="{3DAA1D5C-AA66-D342-9546-CD0727DB623A}"/>
            </a:ext>
          </a:extLst>
        </xdr:cNvPr>
        <xdr:cNvCxnSpPr/>
      </xdr:nvCxnSpPr>
      <xdr:spPr>
        <a:xfrm flipV="1">
          <a:off x="11297920" y="8879840"/>
          <a:ext cx="0" cy="27073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182880</xdr:colOff>
      <xdr:row>38</xdr:row>
      <xdr:rowOff>71120</xdr:rowOff>
    </xdr:from>
    <xdr:to>
      <xdr:col>14</xdr:col>
      <xdr:colOff>182880</xdr:colOff>
      <xdr:row>39</xdr:row>
      <xdr:rowOff>148810</xdr:rowOff>
    </xdr:to>
    <xdr:cxnSp macro="">
      <xdr:nvCxnSpPr>
        <xdr:cNvPr id="16" name="Straight Connector 15">
          <a:extLst>
            <a:ext uri="{FF2B5EF4-FFF2-40B4-BE49-F238E27FC236}">
              <a16:creationId xmlns:a16="http://schemas.microsoft.com/office/drawing/2014/main" id="{6D4C72F4-EF2F-6945-863D-69D3C6190C9A}"/>
            </a:ext>
          </a:extLst>
        </xdr:cNvPr>
        <xdr:cNvCxnSpPr/>
      </xdr:nvCxnSpPr>
      <xdr:spPr>
        <a:xfrm flipV="1">
          <a:off x="12090400" y="8890000"/>
          <a:ext cx="0" cy="270730"/>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0</xdr:col>
      <xdr:colOff>44667</xdr:colOff>
      <xdr:row>45</xdr:row>
      <xdr:rowOff>111760</xdr:rowOff>
    </xdr:from>
    <xdr:to>
      <xdr:col>2</xdr:col>
      <xdr:colOff>650240</xdr:colOff>
      <xdr:row>60</xdr:row>
      <xdr:rowOff>25400</xdr:rowOff>
    </xdr:to>
    <xdr:graphicFrame macro="">
      <xdr:nvGraphicFramePr>
        <xdr:cNvPr id="3" name="Chart 2">
          <a:extLst>
            <a:ext uri="{FF2B5EF4-FFF2-40B4-BE49-F238E27FC236}">
              <a16:creationId xmlns:a16="http://schemas.microsoft.com/office/drawing/2014/main" id="{0F6C9353-CE37-2601-7FB5-F8A958425A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696075</xdr:colOff>
      <xdr:row>45</xdr:row>
      <xdr:rowOff>112256</xdr:rowOff>
    </xdr:from>
    <xdr:to>
      <xdr:col>5</xdr:col>
      <xdr:colOff>836001</xdr:colOff>
      <xdr:row>60</xdr:row>
      <xdr:rowOff>38099</xdr:rowOff>
    </xdr:to>
    <xdr:graphicFrame macro="">
      <xdr:nvGraphicFramePr>
        <xdr:cNvPr id="18" name="Chart 17">
          <a:extLst>
            <a:ext uri="{FF2B5EF4-FFF2-40B4-BE49-F238E27FC236}">
              <a16:creationId xmlns:a16="http://schemas.microsoft.com/office/drawing/2014/main" id="{A52A0294-4F9E-9AD4-E17B-FF2811E79E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0.64118</cdr:x>
      <cdr:y>0.18345</cdr:y>
    </cdr:from>
    <cdr:to>
      <cdr:x>0.88444</cdr:x>
      <cdr:y>0.60342</cdr:y>
    </cdr:to>
    <cdr:sp macro="" textlink="">
      <cdr:nvSpPr>
        <cdr:cNvPr id="2" name="TextBox 1">
          <a:extLst xmlns:a="http://schemas.openxmlformats.org/drawingml/2006/main">
            <a:ext uri="{FF2B5EF4-FFF2-40B4-BE49-F238E27FC236}">
              <a16:creationId xmlns:a16="http://schemas.microsoft.com/office/drawing/2014/main" id="{A250E1DB-7ABB-868B-E0E0-6D03BBB7ACAD}"/>
            </a:ext>
          </a:extLst>
        </cdr:cNvPr>
        <cdr:cNvSpPr txBox="1"/>
      </cdr:nvSpPr>
      <cdr:spPr>
        <a:xfrm xmlns:a="http://schemas.openxmlformats.org/drawingml/2006/main">
          <a:off x="2410107" y="3994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14570</xdr:colOff>
      <xdr:row>37</xdr:row>
      <xdr:rowOff>32846</xdr:rowOff>
    </xdr:from>
    <xdr:to>
      <xdr:col>11</xdr:col>
      <xdr:colOff>43794</xdr:colOff>
      <xdr:row>73</xdr:row>
      <xdr:rowOff>186119</xdr:rowOff>
    </xdr:to>
    <xdr:graphicFrame macro="">
      <xdr:nvGraphicFramePr>
        <xdr:cNvPr id="3" name="Chart 2">
          <a:extLst>
            <a:ext uri="{FF2B5EF4-FFF2-40B4-BE49-F238E27FC236}">
              <a16:creationId xmlns:a16="http://schemas.microsoft.com/office/drawing/2014/main" id="{EECDB5F3-3D20-3A2D-7CA3-279EF3A739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165571</xdr:colOff>
      <xdr:row>93</xdr:row>
      <xdr:rowOff>71612</xdr:rowOff>
    </xdr:from>
    <xdr:to>
      <xdr:col>10</xdr:col>
      <xdr:colOff>713483</xdr:colOff>
      <xdr:row>116</xdr:row>
      <xdr:rowOff>0</xdr:rowOff>
    </xdr:to>
    <xdr:graphicFrame macro="">
      <xdr:nvGraphicFramePr>
        <xdr:cNvPr id="7" name="Chart 6">
          <a:extLst>
            <a:ext uri="{FF2B5EF4-FFF2-40B4-BE49-F238E27FC236}">
              <a16:creationId xmlns:a16="http://schemas.microsoft.com/office/drawing/2014/main" id="{0FA5D87C-2F38-4E70-216B-8ABF5BA483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14570</xdr:colOff>
      <xdr:row>50</xdr:row>
      <xdr:rowOff>32846</xdr:rowOff>
    </xdr:from>
    <xdr:to>
      <xdr:col>11</xdr:col>
      <xdr:colOff>43794</xdr:colOff>
      <xdr:row>86</xdr:row>
      <xdr:rowOff>186119</xdr:rowOff>
    </xdr:to>
    <xdr:graphicFrame macro="">
      <xdr:nvGraphicFramePr>
        <xdr:cNvPr id="2" name="Chart 1">
          <a:extLst>
            <a:ext uri="{FF2B5EF4-FFF2-40B4-BE49-F238E27FC236}">
              <a16:creationId xmlns:a16="http://schemas.microsoft.com/office/drawing/2014/main" id="{81E2BA1F-E32D-FD40-A451-F70639AD80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165571</xdr:colOff>
      <xdr:row>112</xdr:row>
      <xdr:rowOff>71612</xdr:rowOff>
    </xdr:from>
    <xdr:to>
      <xdr:col>10</xdr:col>
      <xdr:colOff>713483</xdr:colOff>
      <xdr:row>135</xdr:row>
      <xdr:rowOff>0</xdr:rowOff>
    </xdr:to>
    <xdr:graphicFrame macro="">
      <xdr:nvGraphicFramePr>
        <xdr:cNvPr id="3" name="Chart 2">
          <a:extLst>
            <a:ext uri="{FF2B5EF4-FFF2-40B4-BE49-F238E27FC236}">
              <a16:creationId xmlns:a16="http://schemas.microsoft.com/office/drawing/2014/main" id="{FD910A15-4F90-B943-8AB8-D83683F053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50800</xdr:colOff>
      <xdr:row>10</xdr:row>
      <xdr:rowOff>45720</xdr:rowOff>
    </xdr:from>
    <xdr:to>
      <xdr:col>2</xdr:col>
      <xdr:colOff>1666240</xdr:colOff>
      <xdr:row>25</xdr:row>
      <xdr:rowOff>55880</xdr:rowOff>
    </xdr:to>
    <xdr:graphicFrame macro="">
      <xdr:nvGraphicFramePr>
        <xdr:cNvPr id="2" name="Chart 1">
          <a:extLst>
            <a:ext uri="{FF2B5EF4-FFF2-40B4-BE49-F238E27FC236}">
              <a16:creationId xmlns:a16="http://schemas.microsoft.com/office/drawing/2014/main" id="{86004425-5E69-A932-46AC-4EFB164420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2717954</xdr:colOff>
      <xdr:row>10</xdr:row>
      <xdr:rowOff>15933</xdr:rowOff>
    </xdr:from>
    <xdr:to>
      <xdr:col>8</xdr:col>
      <xdr:colOff>196350</xdr:colOff>
      <xdr:row>25</xdr:row>
      <xdr:rowOff>28633</xdr:rowOff>
    </xdr:to>
    <xdr:graphicFrame macro="">
      <xdr:nvGraphicFramePr>
        <xdr:cNvPr id="3" name="Chart 2">
          <a:extLst>
            <a:ext uri="{FF2B5EF4-FFF2-40B4-BE49-F238E27FC236}">
              <a16:creationId xmlns:a16="http://schemas.microsoft.com/office/drawing/2014/main" id="{47252723-751D-8A92-8991-122A56A190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72254</xdr:colOff>
      <xdr:row>54</xdr:row>
      <xdr:rowOff>163157</xdr:rowOff>
    </xdr:from>
    <xdr:to>
      <xdr:col>7</xdr:col>
      <xdr:colOff>15679</xdr:colOff>
      <xdr:row>92</xdr:row>
      <xdr:rowOff>15679</xdr:rowOff>
    </xdr:to>
    <xdr:graphicFrame macro="">
      <xdr:nvGraphicFramePr>
        <xdr:cNvPr id="4" name="Chart 3">
          <a:extLst>
            <a:ext uri="{FF2B5EF4-FFF2-40B4-BE49-F238E27FC236}">
              <a16:creationId xmlns:a16="http://schemas.microsoft.com/office/drawing/2014/main" id="{2CB275EB-E5B7-5649-FDF3-C37C121656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685960</xdr:colOff>
      <xdr:row>51</xdr:row>
      <xdr:rowOff>2760</xdr:rowOff>
    </xdr:from>
    <xdr:to>
      <xdr:col>2</xdr:col>
      <xdr:colOff>686320</xdr:colOff>
      <xdr:row>51</xdr:row>
      <xdr:rowOff>3120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99" name="Ink 98">
              <a:extLst>
                <a:ext uri="{FF2B5EF4-FFF2-40B4-BE49-F238E27FC236}">
                  <a16:creationId xmlns:a16="http://schemas.microsoft.com/office/drawing/2014/main" id="{39CAF06F-A7F7-F01D-E8BF-3540A81F482F}"/>
                </a:ext>
              </a:extLst>
            </xdr14:cNvPr>
            <xdr14:cNvContentPartPr/>
          </xdr14:nvContentPartPr>
          <xdr14:nvPr macro=""/>
          <xdr14:xfrm>
            <a:off x="5420520" y="9847800"/>
            <a:ext cx="360" cy="360"/>
          </xdr14:xfrm>
        </xdr:contentPart>
      </mc:Choice>
      <mc:Fallback xmlns="">
        <xdr:pic>
          <xdr:nvPicPr>
            <xdr:cNvPr id="99" name="Ink 98">
              <a:extLst>
                <a:ext uri="{FF2B5EF4-FFF2-40B4-BE49-F238E27FC236}">
                  <a16:creationId xmlns:a16="http://schemas.microsoft.com/office/drawing/2014/main" id="{39CAF06F-A7F7-F01D-E8BF-3540A81F482F}"/>
                </a:ext>
              </a:extLst>
            </xdr:cNvPr>
            <xdr:cNvPicPr/>
          </xdr:nvPicPr>
          <xdr:blipFill>
            <a:blip xmlns:r="http://schemas.openxmlformats.org/officeDocument/2006/relationships" r:embed="rId2"/>
            <a:stretch>
              <a:fillRect/>
            </a:stretch>
          </xdr:blipFill>
          <xdr:spPr>
            <a:xfrm>
              <a:off x="5411520" y="9839160"/>
              <a:ext cx="18000" cy="18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30T01:53:33.077"/>
    </inkml:context>
    <inkml:brush xml:id="br0">
      <inkml:brushProperty name="width" value="0.1" units="cm"/>
      <inkml:brushProperty name="height" value="0.1" units="cm"/>
    </inkml:brush>
  </inkml:definitions>
  <inkml:trace contextRef="#ctx0" brushRef="#br0">0 1 24575,'0'0'0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9-14T19:20:10.987"/>
    </inkml:context>
    <inkml:brush xml:id="br0">
      <inkml:brushProperty name="width" value="0.05" units="cm"/>
      <inkml:brushProperty name="height" value="0.05" units="cm"/>
    </inkml:brush>
  </inkml:definitions>
  <inkml:trace contextRef="#ctx0" brushRef="#br0">0 1 24575,'0'0'0</inkml:trace>
</inkm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72">
  <rv s="0">
    <v>https://www.bing.com/financeapi/forcetrigger?t=a1mou2&amp;q=XNAS%3aAAPL&amp;form=skydnc</v>
    <v>Learn more on Bing</v>
  </rv>
  <rv s="1">
    <v>0</v>
    <v>APPLE INC. (XNAS:AAPL)</v>
    <v>2</v>
    <v>3</v>
    <v>Finance</v>
    <v>4</v>
    <v>en-US</v>
    <v>a1mou2</v>
    <v>268435456</v>
    <v>1</v>
    <v>Powered by Refinitiv</v>
    <v>288.62</v>
    <v>169.21010000000001</v>
    <v>1.0908</v>
    <v>-0.75</v>
    <v>-2.6900000000000001E-3</v>
    <v>0.62</v>
    <v>2.2300000000000002E-3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166000</v>
    <v>Nasdaq Stock Market</v>
    <v>XNAS</v>
    <v>XNAS</v>
    <v>One Apple Park Way, CUPERTINO, CA, 95014 US</v>
    <v>279.58999999999997</v>
    <v>Computers, Phones &amp; Household Electronics</v>
    <v>Stock</v>
    <v>46003.041598900003</v>
    <v>0</v>
    <v>273.81</v>
    <v>4108268590499</v>
    <v>APPLE INC.</v>
    <v>APPLE INC.</v>
    <v>279.09500000000003</v>
    <v>37.437199999999997</v>
    <v>278.77999999999997</v>
    <v>278.02999999999997</v>
    <v>278.64999999999998</v>
    <v>14776350000</v>
    <v>AAPL</v>
    <v>APPLE INC. (XNAS:AAPL)</v>
    <v>33247986</v>
    <v>44664122</v>
    <v>1977</v>
  </rv>
  <rv s="2">
    <v>1</v>
  </rv>
  <rv s="0">
    <v>https://www.bing.com/financeapi/forcetrigger?t=a1yv52&amp;q=XNAS%3aNVDA&amp;form=skydnc</v>
    <v>Learn more on Bing</v>
  </rv>
  <rv s="1">
    <v>0</v>
    <v>NVIDIA CORPORATION (XNAS:NVDA)</v>
    <v>2</v>
    <v>3</v>
    <v>Finance</v>
    <v>5</v>
    <v>en-US</v>
    <v>a1yv52</v>
    <v>268435456</v>
    <v>1</v>
    <v>Powered by Refinitiv</v>
    <v>212.18989999999999</v>
    <v>86.62</v>
    <v>2.3153000000000001</v>
    <v>-2.85</v>
    <v>-1.5507999999999999E-2</v>
    <v>-1.095</v>
    <v>-6.0519999999999992E-3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181.32</v>
    <v>Semiconductors &amp; Semiconductor Equipment</v>
    <v>Stock</v>
    <v>46003.041662950782</v>
    <v>3</v>
    <v>176.62</v>
    <v>4396599000000</v>
    <v>NVIDIA CORPORATION</v>
    <v>NVIDIA CORPORATION</v>
    <v>180.27500000000001</v>
    <v>44.812899999999999</v>
    <v>183.78</v>
    <v>180.93</v>
    <v>179.83500000000001</v>
    <v>24300000000</v>
    <v>NVDA</v>
    <v>NVIDIA CORPORATION (XNAS:NVDA)</v>
    <v>182136641</v>
    <v>206003277</v>
    <v>1998</v>
  </rv>
  <rv s="2">
    <v>4</v>
  </rv>
  <rv s="0">
    <v>https://www.bing.com/financeapi/forcetrigger?t=a1u3rw&amp;q=XNAS%3aGOOGL&amp;form=skydnc</v>
    <v>Learn more on Bing</v>
  </rv>
  <rv s="1">
    <v>0</v>
    <v>ALPHABET INC. (XNAS:GOOGL)</v>
    <v>2</v>
    <v>3</v>
    <v>Finance</v>
    <v>4</v>
    <v>en-US</v>
    <v>a1u3rw</v>
    <v>268435456</v>
    <v>1</v>
    <v>Powered by Refinitiv</v>
    <v>328.83</v>
    <v>140.53</v>
    <v>1.0834999999999999</v>
    <v>-7.78</v>
    <v>-2.4296999999999999E-2</v>
    <v>1</v>
    <v>3.2009999999999999E-3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190167</v>
    <v>Nasdaq Stock Market</v>
    <v>XNAS</v>
    <v>XNAS</v>
    <v>1600 Amphitheatre Parkway, MOUNTAIN VIEW, CA, 94043 US</v>
    <v>321.12</v>
    <v>Software &amp; IT Services</v>
    <v>Stock</v>
    <v>46003.041647731246</v>
    <v>6</v>
    <v>308.60000000000002</v>
    <v>3868246000000</v>
    <v>ALPHABET INC.</v>
    <v>ALPHABET INC.</v>
    <v>320.08</v>
    <v>30.809000000000001</v>
    <v>320.20999999999998</v>
    <v>312.43</v>
    <v>313.43</v>
    <v>12067000000</v>
    <v>GOOGL</v>
    <v>ALPHABET INC. (XNAS:GOOGL)</v>
    <v>42353697</v>
    <v>42876605</v>
    <v>2015</v>
  </rv>
  <rv s="2">
    <v>7</v>
  </rv>
  <rv s="0">
    <v>https://www.bing.com/financeapi/forcetrigger?t=a234r7&amp;q=XNAS%3aSMCI&amp;form=skydnc</v>
    <v>Learn more on Bing</v>
  </rv>
  <rv s="1">
    <v>0</v>
    <v>SUPER MICRO COMPUTER, INC. (XNAS:SMCI)</v>
    <v>2</v>
    <v>3</v>
    <v>Finance</v>
    <v>4</v>
    <v>en-US</v>
    <v>a234r7</v>
    <v>268435456</v>
    <v>1</v>
    <v>Powered by Refinitiv</v>
    <v>66.439899999999994</v>
    <v>25.71</v>
    <v>1.5136000000000001</v>
    <v>-0.88</v>
    <v>-2.5215000000000001E-2</v>
    <v>-0.23</v>
    <v>-6.7610000000000005E-3</v>
    <v>USD</v>
    <v>Super Micro Computer, Inc. provides application-optimized Total IT solutions. It delivers rack-scale solutions optimized for various workloads, including artificial intelligence and high-performance computing, where acceleration is critical. It produces a portfolio of server and storage solutions for enterprise data centers, cloud service providers and edge computing (5G Telco, Retail and embedded). Total IT Solutions include complete servers, storage systems, modular blade servers, workstations, full-rack scale solutions, networking devices, server sub-systems, server management and security software. It provides global support and services to help its customers install, upgrade and maintain their computing infrastructure, including liquid-cooling operations. It offers platforms in rackmount, blade, multi-node and embedded form factors, which support single, dual and multiprocessor architectures. Its key product lines include SuperBlade and MicroBlade, SuperStorage, Twin and others.</v>
    <v>6238</v>
    <v>Nasdaq Stock Market</v>
    <v>XNAS</v>
    <v>XNAS</v>
    <v>980 Rock Avenue, SAN JOSE, CA, 95131 US</v>
    <v>34.159999999999997</v>
    <v>Computers, Phones &amp; Household Electronics</v>
    <v>Stock</v>
    <v>46003.041363135941</v>
    <v>9</v>
    <v>32.905000000000001</v>
    <v>20308956822</v>
    <v>SUPER MICRO COMPUTER, INC.</v>
    <v>SUPER MICRO COMPUTER, INC.</v>
    <v>34.15</v>
    <v>27.464500000000001</v>
    <v>34.9</v>
    <v>34.020000000000003</v>
    <v>33.79</v>
    <v>596971100</v>
    <v>SMCI</v>
    <v>SUPER MICRO COMPUTER, INC. (XNAS:SMCI)</v>
    <v>23178866</v>
    <v>26480376</v>
    <v>2006</v>
  </rv>
  <rv s="2">
    <v>10</v>
  </rv>
  <rv s="0">
    <v>https://www.bing.com/financeapi/forcetrigger?t=a25bf2&amp;q=ARCX%3aVGT&amp;form=skydnc</v>
    <v>Learn more on Bing</v>
  </rv>
  <rv s="3">
    <v>6</v>
    <v>Vanguard InfoTch Idx;ETF (ARCX:VGT)</v>
    <v>7</v>
    <v>8</v>
    <v>Finance</v>
    <v>9</v>
    <v>en-US</v>
    <v>a25bf2</v>
    <v>268435456</v>
    <v>1</v>
    <v>Powered by Refinitiv</v>
    <v>806.99</v>
    <v>451</v>
    <v>0.99080000000000001</v>
    <v>-2.82</v>
    <v>-3.6189999999999998E-3</v>
    <v>-2.3706</v>
    <v>-3.0539999999999999E-3</v>
    <v>USD</v>
    <v>NYSE Arca</v>
    <v>ARCX</v>
    <v>8.9999999999999998E-4</v>
    <v>776.79250000000002</v>
    <v>ETF</v>
    <v>46003.041666678124</v>
    <v>12</v>
    <v>761.64009999999996</v>
    <v>112034972943</v>
    <v>Vanguard InfoTch Idx;ETF</v>
    <v>771.65</v>
    <v>779.16</v>
    <v>776.34</v>
    <v>773.96939999999995</v>
    <v>VGT</v>
    <v>Vanguard InfoTch Idx;ETF (ARCX:VGT)</v>
    <v>545763</v>
    <v>566525</v>
  </rv>
  <rv s="2">
    <v>13</v>
  </rv>
  <rv s="0">
    <v>https://www.bing.com/financeapi/forcetrigger?t=a21mim&amp;q=XNAS%3aQQQ&amp;form=skydnc</v>
    <v>Learn more on Bing</v>
  </rv>
  <rv s="3">
    <v>6</v>
    <v>Invesco QQQ Trust 1 (XNAS:QQQ)</v>
    <v>7</v>
    <v>8</v>
    <v>Finance</v>
    <v>9</v>
    <v>en-US</v>
    <v>a21mim</v>
    <v>268435456</v>
    <v>1</v>
    <v>Powered by Refinitiv</v>
    <v>637.01</v>
    <v>402.39</v>
    <v>1.0303</v>
    <v>-2.0299999999999998</v>
    <v>-3.2340000000000003E-3</v>
    <v>-1.56</v>
    <v>-2.4940000000000001E-3</v>
    <v>USD</v>
    <v>Nasdaq Stock Market</v>
    <v>XNAS</v>
    <v>2E-3</v>
    <v>625.78</v>
    <v>ETF</v>
    <v>46003.041621724216</v>
    <v>15</v>
    <v>617.72</v>
    <v>403022848719.20001</v>
    <v>Invesco QQQ Trust 1</v>
    <v>623.82000000000005</v>
    <v>627.61</v>
    <v>625.58000000000004</v>
    <v>624.02</v>
    <v>QQQ</v>
    <v>Invesco QQQ Trust 1 (XNAS:QQQ)</v>
    <v>58272844</v>
    <v>60259973</v>
  </rv>
  <rv s="2">
    <v>16</v>
  </rv>
  <rv s="0">
    <v>https://www.bing.com/financeapi/forcetrigger?t=a23hqh&amp;q=ARCX%3aSPY&amp;form=skydnc</v>
    <v>Learn more on Bing</v>
  </rv>
  <rv s="3">
    <v>6</v>
    <v>SPDR S&amp;P 500 (ARCX:SPY)</v>
    <v>7</v>
    <v>8</v>
    <v>Finance</v>
    <v>9</v>
    <v>en-US</v>
    <v>a23hqh</v>
    <v>268435456</v>
    <v>1</v>
    <v>Powered by Refinitiv</v>
    <v>689.7</v>
    <v>481.8</v>
    <v>0.99829999999999997</v>
    <v>1.6</v>
    <v>2.3270000000000001E-3</v>
    <v>-0.65100000000000002</v>
    <v>-9.4459999999999998E-4</v>
    <v>USD</v>
    <v>NYSE Arca</v>
    <v>ARCX</v>
    <v>8.9999999999999998E-4</v>
    <v>689.25</v>
    <v>ETF</v>
    <v>46003.041666793753</v>
    <v>18</v>
    <v>682.16499999999996</v>
    <v>700621538993.57996</v>
    <v>SPDR S&amp;P 500</v>
    <v>685.14</v>
    <v>687.57</v>
    <v>689.17</v>
    <v>688.51900000000001</v>
    <v>SPY</v>
    <v>SPDR S&amp;P 500 (ARCX:SPY)</v>
    <v>86173678</v>
    <v>79053665</v>
  </rv>
  <rv s="2">
    <v>19</v>
  </rv>
  <rv s="0">
    <v>https://www.bing.com/financeapi/forcetrigger?t=a1nhlh&amp;q=XNAS%3aAMZN&amp;form=skydnc</v>
    <v>Learn more on Bing</v>
  </rv>
  <rv s="1">
    <v>0</v>
    <v>AMAZON.COM, INC. (XNAS:AMZN)</v>
    <v>2</v>
    <v>3</v>
    <v>Finance</v>
    <v>4</v>
    <v>en-US</v>
    <v>a1nhlh</v>
    <v>268435456</v>
    <v>1</v>
    <v>Powered by Refinitiv</v>
    <v>258.60000000000002</v>
    <v>161.38</v>
    <v>1.3754999999999999</v>
    <v>-1.5</v>
    <v>-6.4720000000000003E-3</v>
    <v>0.21</v>
    <v>9.1189999999999989E-4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1578000</v>
    <v>Nasdaq Stock Market</v>
    <v>XNAS</v>
    <v>XNAS</v>
    <v>410 Terry Avenue North, SEATTLE, WA, 98109 US</v>
    <v>232.11</v>
    <v>Diversified Retail</v>
    <v>Stock</v>
    <v>46003.041653402346</v>
    <v>21</v>
    <v>228.6901</v>
    <v>2477778000000</v>
    <v>AMAZON.COM, INC.</v>
    <v>AMAZON.COM, INC.</v>
    <v>230.71</v>
    <v>32.530200000000001</v>
    <v>231.78</v>
    <v>230.28</v>
    <v>230.49</v>
    <v>10690220000</v>
    <v>AMZN</v>
    <v>AMAZON.COM, INC. (XNAS:AMZN)</v>
    <v>28249599</v>
    <v>42294615</v>
    <v>1996</v>
  </rv>
  <rv s="2">
    <v>22</v>
  </rv>
  <rv s="0">
    <v>http://en.wikipedia.org/wiki/Public_domain</v>
    <v>Public domain</v>
  </rv>
  <rv s="0">
    <v>https://en.wikipedia.org/wiki/Microsoft</v>
    <v>Wikipedia</v>
  </rv>
  <rv s="4">
    <v>24</v>
    <v>25</v>
  </rv>
  <rv s="5">
    <v>14</v>
    <v>https://www.bing.com/th?id=AMMS_e6e837c7bf3a77408619758b7447855a&amp;qlt=95</v>
    <v>26</v>
    <v>0</v>
    <v>https://www.bing.com/images/search?form=xlimg&amp;q=microsoft</v>
    <v>Image of MICROSOFT CORPORATION</v>
  </rv>
  <rv s="0">
    <v>https://www.bing.com/financeapi/forcetrigger?t=a1xzim&amp;q=XNAS%3aMSFT&amp;form=skydnc</v>
    <v>Learn more on Bing</v>
  </rv>
  <rv s="6">
    <v>10</v>
    <v>MICROSOFT CORPORATION (XNAS:MSFT)</v>
    <v>12</v>
    <v>13</v>
    <v>Finance</v>
    <v>4</v>
    <v>en-US</v>
    <v>a1xzim</v>
    <v>268435456</v>
    <v>1</v>
    <v>Powered by Refinitiv</v>
    <v>555.45000000000005</v>
    <v>344.79</v>
    <v>1.073</v>
    <v>4.91</v>
    <v>1.026E-2</v>
    <v>0.25850000000000001</v>
    <v>5.3469999999999993E-4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486.03</v>
    <v>27</v>
    <v>Software &amp; IT Services</v>
    <v>Stock</v>
    <v>46003.041639131246</v>
    <v>28</v>
    <v>475.86</v>
    <v>3593331308190</v>
    <v>MICROSOFT CORPORATION</v>
    <v>MICROSOFT CORPORATION</v>
    <v>476.63</v>
    <v>34.397500000000001</v>
    <v>478.56</v>
    <v>483.47</v>
    <v>483.7285</v>
    <v>7432377000</v>
    <v>MSFT</v>
    <v>MICROSOFT CORPORATION (XNAS:MSFT)</v>
    <v>24669180</v>
    <v>25265373</v>
    <v>1993</v>
  </rv>
  <rv s="2">
    <v>29</v>
  </rv>
  <rv s="0">
    <v>https://www.bing.com/financeapi/forcetrigger?t=a1slm7&amp;q=XNAS%3aMETA&amp;form=skydnc</v>
    <v>Learn more on Bing</v>
  </rv>
  <rv s="1">
    <v>0</v>
    <v>Meta Platforms, Inc. (XNAS:META)</v>
    <v>2</v>
    <v>3</v>
    <v>Finance</v>
    <v>4</v>
    <v>en-US</v>
    <v>a1slm7</v>
    <v>268435456</v>
    <v>1</v>
    <v>Powered by Refinitiv</v>
    <v>796.25</v>
    <v>479.8</v>
    <v>1.2886</v>
    <v>2.58</v>
    <v>3.9680000000000002E-3</v>
    <v>-0.63800000000000001</v>
    <v>-9.7750000000000007E-4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78450</v>
    <v>Nasdaq Stock Market</v>
    <v>XNAS</v>
    <v>XNAS</v>
    <v>1 Meta Way, MENLO PARK, CA, 94025 US</v>
    <v>655.28</v>
    <v>Software &amp; IT Services</v>
    <v>Stock</v>
    <v>46003.041633414061</v>
    <v>31</v>
    <v>640.79499999999996</v>
    <v>1645173830880</v>
    <v>Meta Platforms, Inc.</v>
    <v>Meta Platforms, Inc.</v>
    <v>643.29</v>
    <v>22.456</v>
    <v>650.13</v>
    <v>652.71</v>
    <v>652.072</v>
    <v>2520528000</v>
    <v>META</v>
    <v>Meta Platforms, Inc. (XNAS:META)</v>
    <v>13056726</v>
    <v>19436134</v>
    <v>2004</v>
  </rv>
  <rv s="2">
    <v>32</v>
  </rv>
  <rv s="7">
    <v>15</v>
    <v>BERKSHIRE HATHAWAY INC. (XSGO:BRKB)</v>
    <v>16</v>
    <v>17</v>
    <v>Finance</v>
    <v>18</v>
    <v>en-US</v>
    <v>cde8vh</v>
    <v>268435456</v>
    <v>1</v>
    <v>Powered by Refinitiv</v>
    <v>533.92999999999995</v>
    <v>459.2</v>
    <v>0.71040000000000003</v>
    <v>-1.85</v>
    <v>-3.6380000000000002E-3</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Santiago Stock Exchange</v>
    <v>XSGO</v>
    <v>XSGO</v>
    <v>3555 Farnam Street, OMAHA, NE, 68131 US</v>
    <v>506.69</v>
    <v>Consumer Goods Conglomerates</v>
    <v>Stock</v>
    <v>45994</v>
    <v>506.69</v>
    <v>1093079000000</v>
    <v>BERKSHIRE HATHAWAY INC.</v>
    <v>BERKSHIRE HATHAWAY INC.</v>
    <v>506.69</v>
    <v>508.54</v>
    <v>506.69</v>
    <v>1438220</v>
    <v>BRKB</v>
    <v>BERKSHIRE HATHAWAY INC. (XSGO:BRKB)</v>
    <v>78</v>
    <v>550</v>
    <v>1998</v>
  </rv>
  <rv s="2">
    <v>34</v>
  </rv>
  <rv s="0">
    <v>https://www.bing.com/financeapi/forcetrigger?t=a1ob6h&amp;q=XNYS%3aBCS&amp;form=skydnc</v>
    <v>Learn more on Bing</v>
  </rv>
  <rv s="1">
    <v>0</v>
    <v>BARCLAYS PLC (XNYS:BCS)</v>
    <v>2</v>
    <v>3</v>
    <v>Finance</v>
    <v>4</v>
    <v>en-US</v>
    <v>a1ob6h</v>
    <v>268435456</v>
    <v>1</v>
    <v>Powered by Refinitiv</v>
    <v>24.22</v>
    <v>12.14</v>
    <v>0.98870000000000002</v>
    <v>0.37</v>
    <v>1.5532999999999998E-2</v>
    <v>0.31</v>
    <v>1.2815E-2</v>
    <v>USD</v>
    <v>Barclays PLC is a diversified bank with five divisions comprising Barclays UK, Barclays UK Corporate Bank, Barclays Private Bank and Wealth Management, Barclays Investment Bank and Barclays US Consumer Bank. The Barclays UK division represents businesses that sit within the United Kingdom ring-fenced bank, Barclays Bank UK PLC and its subsidiaries, and comprises Personal Banking, UK Business Banking and Barclaycard Consumer UK. The Barclays UK Corporate Bank division offers lending, trade and working capital, liquidity, payments, and FX solutions for corporate clients. Barclays Private Bank and Wealth Management division comprises the Private Bank, Wealth Management, and Investments businesses. Barclays Investment Bank division incorporates the Global Markets, Investment Banking, and International Corporate Banking businesses. Barclays US Consumer Bank division represents the United States credit card business, focused on the partnership market, as well as an online deposit franchise.</v>
    <v>93000</v>
    <v>New York Stock Exchange</v>
    <v>XNYS</v>
    <v>XNYS</v>
    <v>1 Churchill Place, Canary Wharf, LONDON, UNITED KINGDOM-NA, E14 5HP GB</v>
    <v>24.22</v>
    <v>Banking Services</v>
    <v>Stock</v>
    <v>46003.000000022657</v>
    <v>36</v>
    <v>23.93</v>
    <v>81680940000</v>
    <v>BARCLAYS PLC</v>
    <v>BARCLAYS PLC</v>
    <v>23.95</v>
    <v>11.1717</v>
    <v>23.82</v>
    <v>24.19</v>
    <v>24.5</v>
    <v>3472756000</v>
    <v>BCS</v>
    <v>BARCLAYS PLC (XNYS:BCS)</v>
    <v>6196835</v>
    <v>5546319</v>
    <v>1896</v>
  </rv>
  <rv s="2">
    <v>37</v>
  </rv>
  <rv s="0">
    <v>https://www.bing.com/financeapi/forcetrigger?t=a1waa2&amp;q=XNYS%3aJPM&amp;form=skydnc</v>
    <v>Learn more on Bing</v>
  </rv>
  <rv s="1">
    <v>0</v>
    <v>JPMORGAN CHASE &amp; CO. (XNYS:JPM)</v>
    <v>2</v>
    <v>3</v>
    <v>Finance</v>
    <v>4</v>
    <v>en-US</v>
    <v>a1waa2</v>
    <v>268435456</v>
    <v>1</v>
    <v>Powered by Refinitiv</v>
    <v>322.25</v>
    <v>202.16</v>
    <v>1.0691999999999999</v>
    <v>7.27</v>
    <v>2.3443000000000002E-2</v>
    <v>0.32800000000000001</v>
    <v>1.0330000000000001E-3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318153</v>
    <v>New York Stock Exchange</v>
    <v>XNYS</v>
    <v>XNYS</v>
    <v>383 Madison Avenue, NEW YORK, NY, 10179-0001 US</v>
    <v>318</v>
    <v>Banking Services</v>
    <v>Stock</v>
    <v>46003.040540948437</v>
    <v>39</v>
    <v>309.24</v>
    <v>872716924520</v>
    <v>JPMORGAN CHASE &amp; CO.</v>
    <v>JPMORGAN CHASE &amp; CO.</v>
    <v>309.24</v>
    <v>15.719799999999999</v>
    <v>310.11</v>
    <v>317.38</v>
    <v>317.70800000000003</v>
    <v>2749754000</v>
    <v>JPM</v>
    <v>JPMORGAN CHASE &amp; CO. (XNYS:JPM)</v>
    <v>9721859</v>
    <v>8774510</v>
    <v>1968</v>
  </rv>
  <rv s="2">
    <v>40</v>
  </rv>
  <rv s="0">
    <v>https://www.bing.com/financeapi/forcetrigger?t=a25obh&amp;q=XNYS%3aVZ&amp;form=skydnc</v>
    <v>Learn more on Bing</v>
  </rv>
  <rv s="1">
    <v>0</v>
    <v>VERIZON COMMUNICATIONS INC. (XNYS:VZ)</v>
    <v>2</v>
    <v>3</v>
    <v>Finance</v>
    <v>4</v>
    <v>en-US</v>
    <v>a25obh</v>
    <v>268435456</v>
    <v>1</v>
    <v>Powered by Refinitiv</v>
    <v>47.354999999999997</v>
    <v>37.585000000000001</v>
    <v>0.32829999999999998</v>
    <v>0.3</v>
    <v>7.5149999999999991E-3</v>
    <v>0.06</v>
    <v>1.4920000000000001E-3</v>
    <v>USD</v>
    <v>Verizon Communications Inc. is a holding company. The Company, through its subsidiaries, provides communications, technology, information and streaming products and services to consumers, businesses and government entities. Its Consumer segment provides wireless and wireline communications services. It also provides fixed wireless access (FWA) broadband through its 5G or 4G Long-Term Evolution (LTE) networks portfolio. The Company's Business segment provides wireless and wireline communications services and products, including FWA broadband, data, video and advanced communication services, corporate networking solutions, security and managed network services, local and long-distance voice services and network access to deliver various Internet of Things (IoT) services and products. It provides these products and services to businesses, public sector customers and wireless and wireline carriers across the U.S. and a subset of these products and services to customers around the world.</v>
    <v>99600</v>
    <v>New York Stock Exchange</v>
    <v>XNYS</v>
    <v>XNYS</v>
    <v>1095 Avenue Of The Americas, NEW YORK, NY, 10036 US</v>
    <v>40.549999999999997</v>
    <v>Telecommunications Services</v>
    <v>Stock</v>
    <v>46003.041182603905</v>
    <v>42</v>
    <v>39.97</v>
    <v>169584613500</v>
    <v>VERIZON COMMUNICATIONS INC.</v>
    <v>VERIZON COMMUNICATIONS INC.</v>
    <v>40</v>
    <v>8.5744000000000007</v>
    <v>39.92</v>
    <v>40.22</v>
    <v>40.28</v>
    <v>4216425000</v>
    <v>VZ</v>
    <v>VERIZON COMMUNICATIONS INC. (XNYS:VZ)</v>
    <v>21894995</v>
    <v>25901622</v>
    <v>1983</v>
  </rv>
  <rv s="2">
    <v>43</v>
  </rv>
  <rv s="0">
    <v>https://www.bing.com/financeapi/forcetrigger?t=c2mtww&amp;q=XNAS%3aHOOD&amp;form=skydnc</v>
    <v>Learn more on Bing</v>
  </rv>
  <rv s="1">
    <v>0</v>
    <v>ROBINHOOD MARKETS, INC. (XNAS:HOOD)</v>
    <v>2</v>
    <v>3</v>
    <v>Finance</v>
    <v>4</v>
    <v>en-US</v>
    <v>c2mtww</v>
    <v>268435456</v>
    <v>1</v>
    <v>Powered by Refinitiv</v>
    <v>153.85990000000001</v>
    <v>29.66</v>
    <v>2.4323999999999999</v>
    <v>-12.28</v>
    <v>-9.0519999999999989E-2</v>
    <v>0.76160000000000005</v>
    <v>6.1729999999999997E-3</v>
    <v>USD</v>
    <v>Robinhood Markets, Inc. is creating a financial services platform for everyone, regardless of their wealth, income, or background. It uses technology to provide access to the financial system. Its offerings include Brokerage, Robinhood Crypto, Custody, Robinhood Wallet, Robinhood Gold, and Robinhood Gold Card. Its Brokerage services include investing, options trading, fractional trading, recurring investment, access to investing on margin, fully paid securities lending, cash sweep, instant withdrawals, Robinhood retirement, 24-hour market, joint investing accounts, and event contracts. It also offers a variety of ways for its customers to grow their financial knowledge, including Robinhood Learn, In-App Education, Newsfeeds, Sherwood Snacks, and Crypto Learn and Earn. Its self-clearing system, order routing system, data platform, and other back-end infrastructure deliver the capabilities that allow its customers to focus on investing, saving and spending.</v>
    <v>2300</v>
    <v>Nasdaq Stock Market</v>
    <v>XNAS</v>
    <v>XNAS</v>
    <v>85 Willow Road, MENLO PARK, CA, 94025 US</v>
    <v>131.77500000000001</v>
    <v>Financial Technology (Fintech) &amp; Infrastructure</v>
    <v>Stock</v>
    <v>46003.041653703127</v>
    <v>45</v>
    <v>122.53</v>
    <v>121984000000</v>
    <v>ROBINHOOD MARKETS, INC.</v>
    <v>ROBINHOOD MARKETS, INC.</v>
    <v>131.77500000000001</v>
    <v>54.5152</v>
    <v>135.66</v>
    <v>123.38</v>
    <v>124.1416</v>
    <v>899188800</v>
    <v>HOOD</v>
    <v>ROBINHOOD MARKETS, INC. (XNAS:HOOD)</v>
    <v>44624831</v>
    <v>29671658</v>
    <v>2013</v>
  </rv>
  <rv s="2">
    <v>46</v>
  </rv>
  <rv s="0">
    <v>https://www.bing.com/financeapi/forcetrigger?t=bwxxoc&amp;q=XNAS%3aSOFI&amp;form=skydnc</v>
    <v>Learn more on Bing</v>
  </rv>
  <rv s="1">
    <v>0</v>
    <v>SOFI TECHNOLOGIES, INC. (XNAS:SOFI)</v>
    <v>2</v>
    <v>3</v>
    <v>Finance</v>
    <v>4</v>
    <v>en-US</v>
    <v>bwxxoc</v>
    <v>268435456</v>
    <v>1</v>
    <v>Powered by Refinitiv</v>
    <v>32.729999999999997</v>
    <v>8.6</v>
    <v>1.9235</v>
    <v>-0.02</v>
    <v>-7.3830000000000011E-4</v>
    <v>-0.1099</v>
    <v>-4.0600000000000002E-3</v>
    <v>USD</v>
    <v>SoFi Technologies, Inc. is a member-centric, one-stop shop for digital financial services. The Company, through its lending and financial services products, allows members to borrow, save, spend, invest and protect their money. The Company's segments include Lending, Technology Platform and Financial Services. The Lending segment offers personal loans, student loans, home loans and related servicing to help its members with a variety of financial needs. Its platform supports the full transaction lifecycle, including credit application, underwriting, approval, funding and servicing. The Technology Platform segment provides services through a diversified suite of offerings which include an event and authorization platform accessed via application programming interfaces, a cloud-native digital and core banking platform and services related to both platforms. The Financial Services segment offers a suite of financial services solutions, including SoFi Money and SoFi Invest.</v>
    <v>5000</v>
    <v>Nasdaq Stock Market</v>
    <v>XNAS</v>
    <v>XNAS</v>
    <v>234 1st Street, SAN FRANCISCO, CA, 94105 US</v>
    <v>27.28</v>
    <v>Banking Services</v>
    <v>Stock</v>
    <v>46003.041623738281</v>
    <v>48</v>
    <v>26.555</v>
    <v>34145550000</v>
    <v>SOFI TECHNOLOGIES, INC.</v>
    <v>SOFI TECHNOLOGIES, INC.</v>
    <v>26.84</v>
    <v>49.5289</v>
    <v>27.09</v>
    <v>27.07</v>
    <v>26.960100000000001</v>
    <v>1260448000</v>
    <v>SOFI</v>
    <v>SOFI TECHNOLOGIES, INC. (XNAS:SOFI)</v>
    <v>42165647</v>
    <v>73338604</v>
    <v>2021</v>
  </rv>
  <rv s="2">
    <v>49</v>
  </rv>
  <rv s="0">
    <v>https://www.bing.com/financeapi/forcetrigger?t=a24xlh&amp;q=XNYS%3aUNH&amp;form=skydnc</v>
    <v>Learn more on Bing</v>
  </rv>
  <rv s="1">
    <v>0</v>
    <v>UNITEDHEALTH GROUP INCORPORATED (XNYS:UNH)</v>
    <v>2</v>
    <v>3</v>
    <v>Finance</v>
    <v>4</v>
    <v>en-US</v>
    <v>a24xlh</v>
    <v>268435456</v>
    <v>1</v>
    <v>Powered by Refinitiv</v>
    <v>606.36</v>
    <v>234.6</v>
    <v>0.42599999999999999</v>
    <v>8.36</v>
    <v>2.5458999999999999E-2</v>
    <v>-7.9600000000000004E-2</v>
    <v>-2.364E-4</v>
    <v>USD</v>
    <v>UnitedHealth Group Incorporated is a healthcare and well-being company. Its segments include Optum Health, Optum Insight, Optum Rx, and UnitedHealthcare, which includes UnitedHealthcare Employer &amp; Individual, UnitedHealthcare Medicare &amp; Retirement and UnitedHealthcare Community &amp; State. Optum Health offers comprehensive and patient-centered care, addressing the physical, mental, social, and financial well-being. Optum Health delivers primary, specialty and surgical care; helps patients and providers navigate and address complex, chronic and behavioral health needs. Optum Insight connects the healthcare system with services, analytics and platforms that make clinical, administrative and financial processes simpler and more efficient for all participants in the healthcare system. Optum Rx offers a range of pharmacy care services through retail pharmacies, through home delivery, specialty and community health pharmacies and the provision of in-home and community-based infusion services.</v>
    <v>400000</v>
    <v>New York Stock Exchange</v>
    <v>XNYS</v>
    <v>XNYS</v>
    <v>1 HEALTH DRIVE, EDEN PRAIRIE, MN, 55344 US</v>
    <v>339.25</v>
    <v>Healthcare Providers &amp; Services</v>
    <v>Stock</v>
    <v>46003.041571180467</v>
    <v>51</v>
    <v>328.76</v>
    <v>305023031778</v>
    <v>UNITEDHEALTH GROUP INCORPORATED</v>
    <v>UNITEDHEALTH GROUP INCORPORATED</v>
    <v>330.37</v>
    <v>17.566600000000001</v>
    <v>328.37</v>
    <v>336.73</v>
    <v>336.65039999999999</v>
    <v>905838600</v>
    <v>UNH</v>
    <v>UNITEDHEALTH GROUP INCORPORATED (XNYS:UNH)</v>
    <v>7513165</v>
    <v>7520330</v>
    <v>2015</v>
  </rv>
  <rv s="2">
    <v>52</v>
  </rv>
  <rv s="0">
    <v>https://www.bing.com/financeapi/forcetrigger?t=buwp52&amp;q=XNAS%3aOPEN&amp;form=skydnc</v>
    <v>Learn more on Bing</v>
  </rv>
  <rv s="1">
    <v>0</v>
    <v>OPENDOOR TECHNOLOGIES INC. (XNAS:OPEN)</v>
    <v>2</v>
    <v>3</v>
    <v>Finance</v>
    <v>4</v>
    <v>en-US</v>
    <v>buwp52</v>
    <v>268435456</v>
    <v>1</v>
    <v>Powered by Refinitiv</v>
    <v>10.87</v>
    <v>0.50839999999999996</v>
    <v>3.6297999999999999</v>
    <v>0.05</v>
    <v>7.143E-3</v>
    <v>-3.9800000000000002E-2</v>
    <v>-5.6449999999999998E-3</v>
    <v>USD</v>
    <v>Opendoor Technologies Inc. is an e-commerce platform for residential real estate transactions. By leveraging software, data science, product design and operations, the Company is engaged in building a technology platform for residential real estate that offers buyers and sellers a digital, on-demand experience. Its product offerings include Sell to Opendoor, List with Opendoor and Opendoor Marketplace. Sell to Opendoor enables sellers to utilize its core product offering to sell their home directly to it, and it resells the home to a home buyer. By selling to Opendoor, homeowners can avoid the stress of open houses, home repair coordination, overlapping mortgages, and the uncertainty that can come with listing a home on the open market. Its capital-light marketplace offering connects home sellers with both institutional and retail buyers, facilitating transactions without Opendoor taking ownership of the home. Its listing product is available in nearly all Opendoor markets.</v>
    <v>1470</v>
    <v>Nasdaq Stock Market</v>
    <v>XNAS</v>
    <v>XNAS</v>
    <v>410 N. Scottsdale Road, Suite 1000, TEMPE, AZ, 85288 US</v>
    <v>7.17</v>
    <v>Real Estate Operations</v>
    <v>Stock</v>
    <v>46003.041652071093</v>
    <v>54</v>
    <v>6.73</v>
    <v>6724206105</v>
    <v>OPENDOOR TECHNOLOGIES INC.</v>
    <v>OPENDOOR TECHNOLOGIES INC.</v>
    <v>7.05</v>
    <v>0</v>
    <v>7</v>
    <v>7.05</v>
    <v>7.0102000000000002</v>
    <v>953788100</v>
    <v>OPEN</v>
    <v>OPENDOOR TECHNOLOGIES INC. (XNAS:OPEN)</v>
    <v>60839785</v>
    <v>127491247</v>
    <v>2020</v>
  </rv>
  <rv s="2">
    <v>55</v>
  </rv>
  <rv s="0">
    <v>https://www.bing.com/financeapi/forcetrigger?t=a25l52&amp;q=XNYS%3aVST&amp;form=skydnc</v>
    <v>Learn more on Bing</v>
  </rv>
  <rv s="1">
    <v>0</v>
    <v>VISTRA CORP. (XNYS:VST)</v>
    <v>2</v>
    <v>3</v>
    <v>Finance</v>
    <v>5</v>
    <v>en-US</v>
    <v>a25l52</v>
    <v>268435456</v>
    <v>1</v>
    <v>Powered by Refinitiv</v>
    <v>219.82</v>
    <v>90.51</v>
    <v>1.41</v>
    <v>9.4600000000000009</v>
    <v>5.7274000000000005E-2</v>
    <v>-1.1399999999999999</v>
    <v>-6.5290000000000001E-3</v>
    <v>USD</v>
    <v>Vistra Corp. is an integrated retail electricity and power generation company that provides essential resources to customers, businesses, and communities from California to Maine. It operates a reliable power generation fleet of natural gas, nuclear, coal, solar, and battery energy storage facilities while taking an innovative, customer-centric approach to its retail business. Its segments include Retail, Texas, East, West, and Asset Closure. The Retail segment is engaged in retail sales of electricity and natural gas to residential, commercial and industrial customers. The Texas and East segments are engaged in electricity generation, wholesale energy sales and purchases, commodity risk management activities, fuel procurement, and logistics management. The West segment represents results from the CAISO market, including its battery ESS projects at its Moss Landing power plant site. The Asset Closure segment is engaged in the decommissioning and reclamation of retired plants and mines.</v>
    <v>6850</v>
    <v>New York Stock Exchange</v>
    <v>XNYS</v>
    <v>XNYS</v>
    <v>6555 Sierra Drive, IRVING, TX, 75039 US</v>
    <v>174.89</v>
    <v>Electrical Utilities &amp; IPPs</v>
    <v>Stock</v>
    <v>46003.04101403906</v>
    <v>57</v>
    <v>161.01</v>
    <v>59169097065</v>
    <v>VISTRA CORP.</v>
    <v>VISTRA CORP.</v>
    <v>162.05000000000001</v>
    <v>63.317799999999998</v>
    <v>165.17</v>
    <v>174.63</v>
    <v>173.46</v>
    <v>338825500</v>
    <v>VST</v>
    <v>VISTRA CORP. (XNYS:VST)</v>
    <v>6197091</v>
    <v>4215181</v>
    <v>2016</v>
  </rv>
  <rv s="2">
    <v>58</v>
  </rv>
  <rv s="0">
    <v>http://zh.wikipedia.org/wiki/OMX</v>
    <v>Wikipedia</v>
  </rv>
  <rv s="4">
    <v>24</v>
    <v>60</v>
  </rv>
  <rv s="5">
    <v>14</v>
    <v>https://www.bing.com/th?id=AMMS_ca29f5ea4bb769bc6f9c17b9fef790ab&amp;qlt=95</v>
    <v>61</v>
    <v>0</v>
    <v>https://www.bing.com/images/search?form=xlimg&amp;q=nasdaq+omx+group</v>
    <v>Image of NASDAQ, INC.</v>
  </rv>
  <rv s="0">
    <v>https://www.bing.com/financeapi/forcetrigger?t=a1ydc7&amp;q=XNAS%3aNDAQ&amp;form=skydnc</v>
    <v>Learn more on Bing</v>
  </rv>
  <rv s="6">
    <v>10</v>
    <v>NASDAQ, INC. (XNAS:NDAQ)</v>
    <v>12</v>
    <v>13</v>
    <v>Finance</v>
    <v>4</v>
    <v>en-US</v>
    <v>a1ydc7</v>
    <v>268435456</v>
    <v>1</v>
    <v>Powered by Refinitiv</v>
    <v>97.63</v>
    <v>64.84</v>
    <v>1.0256000000000001</v>
    <v>1.93</v>
    <v>2.0996999999999998E-2</v>
    <v>-0.82499999999999996</v>
    <v>-8.7910000000000002E-3</v>
    <v>USD</v>
    <v>Nasdaq, Inc. is a global technology company serving corporate clients, investment managers, banks, brokers, and exchange operators as they navigate and interact with the global capital markets and the broader financial system. The Company manages, operates and provides its products and services in three business segments: Capital Access Platforms, Financial Technology and Market Services. Its Capital Access Platforms segment comprises Data &amp; Listing Services, Index and Workflow &amp; Insights. The Financial Technology segment comprises Financial Crime Management Technology, Regulatory Technology and Capital Markets Technology businesses. Its Market Services segment includes its equity derivative trading and clearing, cash equity trading, fixed income, currency and commodities trading. It operates over 19 exchanges across several asset classes, including derivatives, commodities, cash equity, debt, structured products and exchange-traded products (ETPs).</v>
    <v>9625</v>
    <v>Nasdaq Stock Market</v>
    <v>XNAS</v>
    <v>XNAS</v>
    <v>151 W. 42Nd Street, NEW YORK, NY, 10036 US</v>
    <v>94.38</v>
    <v>62</v>
    <v>Investment Banking &amp; Investment Services</v>
    <v>Stock</v>
    <v>46003.037933796091</v>
    <v>63</v>
    <v>91.92</v>
    <v>53587918290</v>
    <v>NASDAQ, INC.</v>
    <v>NASDAQ, INC.</v>
    <v>92.21</v>
    <v>33.4636</v>
    <v>91.92</v>
    <v>93.85</v>
    <v>93.025000000000006</v>
    <v>570995400</v>
    <v>NDAQ</v>
    <v>NASDAQ, INC. (XNAS:NDAQ)</v>
    <v>5554598</v>
    <v>2892196</v>
    <v>1979</v>
  </rv>
  <rv s="2">
    <v>64</v>
  </rv>
  <rv s="0">
    <v>https://www.bing.com/financeapi/forcetrigger?t=a1nz8m&amp;q=XNAS%3aAVGO&amp;form=skydnc</v>
    <v>Learn more on Bing</v>
  </rv>
  <rv s="1">
    <v>0</v>
    <v>BROADCOM INC. (XNAS:AVGO)</v>
    <v>2</v>
    <v>3</v>
    <v>Finance</v>
    <v>5</v>
    <v>en-US</v>
    <v>a1nz8m</v>
    <v>268435456</v>
    <v>1</v>
    <v>Powered by Refinitiv</v>
    <v>414.61</v>
    <v>138.1</v>
    <v>1.2012</v>
    <v>-6.6</v>
    <v>-1.5982E-2</v>
    <v>-18.170000000000002</v>
    <v>-4.4713000000000003E-2</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409.3</v>
    <v>Semiconductors &amp; Semiconductor Equipment</v>
    <v>Stock</v>
    <v>46003.041662013282</v>
    <v>66</v>
    <v>394.19</v>
    <v>1919027465050</v>
    <v>BROADCOM INC.</v>
    <v>BROADCOM INC.</v>
    <v>404.82499999999999</v>
    <v>85.276899999999998</v>
    <v>412.97</v>
    <v>406.37</v>
    <v>388.2</v>
    <v>4722365000</v>
    <v>AVGO</v>
    <v>BROADCOM INC. (XNAS:AVGO)</v>
    <v>45681617</v>
    <v>23172561</v>
    <v>2018</v>
  </rv>
  <rv s="2">
    <v>67</v>
  </rv>
  <rv s="0">
    <v>https://www.bing.com/financeapi/forcetrigger?t=a24kjc&amp;q=XNYS%3aTSM&amp;form=skydnc</v>
    <v>Learn more on Bing</v>
  </rv>
  <rv s="1">
    <v>0</v>
    <v>Taiwan Semiconductor Manufacturing Co., Ltd. (XNYS:TSM)</v>
    <v>2</v>
    <v>3</v>
    <v>Finance</v>
    <v>4</v>
    <v>en-US</v>
    <v>a24kjc</v>
    <v>268435456</v>
    <v>1</v>
    <v>Powered by Refinitiv</v>
    <v>313.98</v>
    <v>134.25</v>
    <v>1.2935000000000001</v>
    <v>-4.4930000000000003</v>
    <v>-1.4523999999999999E-2</v>
    <v>-2.34</v>
    <v>-7.6759999999999997E-3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305.83999999999997</v>
    <v>Semiconductors &amp; Semiconductor Equipment</v>
    <v>Stock</v>
    <v>46003.041410196092</v>
    <v>69</v>
    <v>299.64</v>
    <v>1253886000000</v>
    <v>Taiwan Semiconductor Manufacturing Co., Ltd.</v>
    <v>Taiwan Semiconductor Manufacturing Co., Ltd.</v>
    <v>305.32</v>
    <v>30.334700000000002</v>
    <v>309.34300000000002</v>
    <v>304.85000000000002</v>
    <v>302.51</v>
    <v>5186505000</v>
    <v>TSM</v>
    <v>Taiwan Semiconductor Manufacturing Co., Ltd. (XNYS:TSM)</v>
    <v>15028375</v>
    <v>11748747</v>
    <v>1987</v>
  </rv>
  <rv s="2">
    <v>70</v>
  </rv>
  <rv s="0">
    <v>https://www.bing.com/financeapi/forcetrigger?t=a1nihw&amp;q=XNYS%3aANET&amp;form=skydnc</v>
    <v>Learn more on Bing</v>
  </rv>
  <rv s="1">
    <v>0</v>
    <v>ARISTA NETWORKS, INC. (XNYS:ANET)</v>
    <v>2</v>
    <v>3</v>
    <v>Finance</v>
    <v>4</v>
    <v>en-US</v>
    <v>a1nihw</v>
    <v>268435456</v>
    <v>1</v>
    <v>Powered by Refinitiv</v>
    <v>164.94</v>
    <v>59.43</v>
    <v>1.4119999999999999</v>
    <v>2.0299999999999998</v>
    <v>1.5337E-2</v>
    <v>0.25</v>
    <v>1.8599999999999999E-3</v>
    <v>USD</v>
    <v>Arista Networks, Inc. is a provider of data-driven, client-to-cloud networking for large artificial intelligence (AI), data center, campus and routing environments. Its platforms deliver availability, agility, automation, analytics, and security through an advanced network operating stack. Its platform is its Extensible Operating System (EOS), a modernized publish-subscribe state-sharing networking operating system. Its portfolio of products, services and technologies is grouped into various categories: Core (Data Center, Cloud and AI Networking), Cognitive Adjacencies (Campus and Routing), and Cognitive Network (Software and Services). It offers product portfolios of data-driven, high-speed, cloud and data center Ethernet switches. Its Cognitive Adjacencies include Cognitive Campus Switching, Cloud-Grade Routing and WAN Routing. Its software and services are based on subscription-based models and include various offerings: CloudVision, Arista A-Care Services, CloudEOS and others.</v>
    <v>4412</v>
    <v>New York Stock Exchange</v>
    <v>XNYS</v>
    <v>XNYS</v>
    <v>5453 Great America Pkwy, SANTA CLARA, CA, 95054 US</v>
    <v>136.4</v>
    <v>Communications &amp; Networking</v>
    <v>Stock</v>
    <v>46003.041590439061</v>
    <v>72</v>
    <v>128.94999999999999</v>
    <v>169235311149</v>
    <v>ARISTA NETWORKS, INC.</v>
    <v>ARISTA NETWORKS, INC.</v>
    <v>135.53</v>
    <v>51.144199999999998</v>
    <v>132.36000000000001</v>
    <v>134.38999999999999</v>
    <v>134.63999999999999</v>
    <v>1259285000</v>
    <v>ANET</v>
    <v>ARISTA NETWORKS, INC. (XNYS:ANET)</v>
    <v>6679540</v>
    <v>8736723</v>
    <v>2011</v>
  </rv>
  <rv s="2">
    <v>73</v>
  </rv>
  <rv s="0">
    <v>https://www.bing.com/financeapi/forcetrigger?t=buln1h&amp;q=ARCX%3aJEPI&amp;form=skydnc</v>
    <v>Learn more on Bing</v>
  </rv>
  <rv s="3">
    <v>6</v>
    <v>JPMorgan:Eqty Prem Inc (ARCX:JEPI)</v>
    <v>7</v>
    <v>8</v>
    <v>Finance</v>
    <v>9</v>
    <v>en-US</v>
    <v>buln1h</v>
    <v>268435456</v>
    <v>1</v>
    <v>Powered by Refinitiv</v>
    <v>59.859699999999997</v>
    <v>49.94</v>
    <v>0.50629999999999997</v>
    <v>0.38</v>
    <v>6.6190000000000008E-3</v>
    <v>1.1999999999999999E-3</v>
    <v>2.0760000000000001E-5</v>
    <v>USD</v>
    <v>NYSE Arca</v>
    <v>ARCX</v>
    <v>3.4999999999999996E-3</v>
    <v>57.8</v>
    <v>ETF</v>
    <v>46003.041667082813</v>
    <v>75</v>
    <v>57.38</v>
    <v>41516792356.400002</v>
    <v>JPMorgan:Eqty Prem Inc</v>
    <v>57.38</v>
    <v>57.41</v>
    <v>57.79</v>
    <v>57.791200000000003</v>
    <v>JEPI</v>
    <v>JPMorgan:Eqty Prem Inc (ARCX:JEPI)</v>
    <v>4011136</v>
    <v>5009311</v>
  </rv>
  <rv s="2">
    <v>76</v>
  </rv>
  <rv s="0">
    <v>https://www.bing.com/financeapi/forcetrigger?t=c438im&amp;q=XNAS%3aIREN&amp;form=skydnc</v>
    <v>Learn more on Bing</v>
  </rv>
  <rv s="1">
    <v>0</v>
    <v>IREN LIMITED (XNAS:IREN)</v>
    <v>2</v>
    <v>3</v>
    <v>Finance</v>
    <v>4</v>
    <v>en-US</v>
    <v>c438im</v>
    <v>268435456</v>
    <v>1</v>
    <v>Powered by Refinitiv</v>
    <v>76.87</v>
    <v>5.125</v>
    <v>4.2462</v>
    <v>0.02</v>
    <v>4.5539999999999996E-4</v>
    <v>-0.53559999999999997</v>
    <v>-1.2189E-2</v>
    <v>USD</v>
    <v>IREN Limited is an Australia-based company, which owns and operates data centers powered by 100% renewable energy. Its facilities are optimized for Bitcoin mining, artificial intelligence (AI) cloud services, and other power-dense compute. Its data center mining facilities are in Canal Flats, Mackenzie, Prince George and Childress. Bitcoin Mining provides security to the Bitcoin network. Al Cloud Services provides cloud compute to Al customers, approximately 1,896 NVIDIA H100 and H200 GPUs. Its Canal Flats facility is in the Canadian Rockies, 100 kilometers (km) from Cranbrook regional airport and 500km east of Vancouver. Its facility is in Prince George, the city in northern British Columbia, located 500 km north of Vancouver. Its facility is located in Childress County, Texas, over 250 miles northwest of Dallas and in close proximity to multiple wind and solar generating facilities in the region. Its Childress operations comprise 200 Mega Watt of operating data centers.</v>
    <v>257</v>
    <v>Nasdaq Stock Market</v>
    <v>XNAS</v>
    <v>XNAS</v>
    <v>Level 6, 55 Market Street, SYDNEY, NEW SOUTH WALES, 2000 AU</v>
    <v>44.04</v>
    <v>Financial Technology (Fintech) &amp; Infrastructure</v>
    <v>Stock</v>
    <v>46003.041654872657</v>
    <v>78</v>
    <v>40.86</v>
    <v>12682955844</v>
    <v>IREN LIMITED</v>
    <v>IREN LIMITED</v>
    <v>43.12</v>
    <v>32.014600000000002</v>
    <v>43.92</v>
    <v>43.94</v>
    <v>43.404400000000003</v>
    <v>288642600</v>
    <v>IREN</v>
    <v>IREN LIMITED (XNAS:IREN)</v>
    <v>26514583</v>
    <v>41019354</v>
    <v>2018</v>
  </rv>
  <rv s="2">
    <v>79</v>
  </rv>
  <rv s="8">
    <v>19</v>
    <v>COREWEAVE, INC. (XNAS:CRWV)</v>
    <v>16</v>
    <v>20</v>
    <v>Finance</v>
    <v>4</v>
    <v>en-US</v>
    <v>cgblqh</v>
    <v>268435456</v>
    <v>1</v>
    <v>Powered by Refinitiv</v>
    <v>187</v>
    <v>33.515000000000001</v>
    <v>2.5390000000000001</v>
    <v>-0.78</v>
    <v>-8.848E-3</v>
    <v>-1.1000000000000001</v>
    <v>-1.2588999999999999E-2</v>
    <v>USD</v>
    <v>CoreWeave, Inc. is a cloud infrastructure technology company. The Company offers the CoreWeave Cloud Platform, which consists of software and cloud services that deliver the automation and efficiency needed to manage complex artificial intelligence (AI) infrastructure. Its CoreWeave Cloud Platform is an integrated solution that is purpose-built for running AI workloads such as model training and inference. Its solutions include infrastructure services, managed software services, and application software services. Its Infrastructure Services provide its customers with access to advanced graphics processing unit (GPU) and central processing unit (CPU) compute, highly performant networking, and storage. Its Managed Software Services include CKS, a flexible virtual private cloud and a bare metal service that runs kubernetes directly on high-performance servers. Its Application Software Services build on top of its infrastructure and managed software services, integrating additional tools.</v>
    <v>Nasdaq Stock Market</v>
    <v>XNAS</v>
    <v>XNAS</v>
    <v>290 W. Mt. Pleasant Avenue, Suite 4100, LIVINGSTON, NJ, 07039 US</v>
    <v>88.53</v>
    <v>Software &amp; IT Services</v>
    <v>Stock</v>
    <v>46003.041616203125</v>
    <v>81.099999999999994</v>
    <v>43542983150</v>
    <v>COREWEAVE, INC.</v>
    <v>COREWEAVE, INC.</v>
    <v>83.01</v>
    <v>0</v>
    <v>88.16</v>
    <v>87.38</v>
    <v>86.28</v>
    <v>498317500</v>
    <v>CRWV</v>
    <v>COREWEAVE, INC. (XNAS:CRWV)</v>
    <v>26922845</v>
    <v>32688189</v>
    <v>2017</v>
  </rv>
  <rv s="2">
    <v>81</v>
  </rv>
  <rv s="0">
    <v>https://www.bing.com/financeapi/forcetrigger?t=c1sd3m&amp;q=XNAS%3aAPP&amp;form=skydnc</v>
    <v>Learn more on Bing</v>
  </rv>
  <rv s="1">
    <v>0</v>
    <v>APPLOVIN CORPORATION (XNAS:APP)</v>
    <v>2</v>
    <v>3</v>
    <v>Finance</v>
    <v>4</v>
    <v>en-US</v>
    <v>c1sd3m</v>
    <v>268435456</v>
    <v>1</v>
    <v>Powered by Refinitiv</v>
    <v>745.61</v>
    <v>200.5</v>
    <v>2.5049999999999999</v>
    <v>13.7</v>
    <v>1.9480000000000001E-2</v>
    <v>-2.48</v>
    <v>-3.4589999999999998E-3</v>
    <v>USD</v>
    <v>AppLovin Corporation is a marketing platform. The Company provides end-to-end software and artificial intelligence (AI) solutions for businesses to reach, monetize and grow their global audiences. Its advertising solutions include a comprehensive suite of tools including AppDiscovery, MAX, Adjust, Wurl and Axon Ads Manager. AppDiscovery is powered by AXON, its AI-powered advertising engine, and matches advertiser demand with publisher supply through auctions at vast scale and at microsecond-level speeds. MAX is its monetization solution, utilizing an advanced in-app bidding technology that optimizes the value of a publisher’s advertising inventory by running a real-time competitive auction, driving more competition, and higher returns for publishers. Adjust is its measurement and analytics marketing platform which provides marketers with the visibility, insights, and data needed to scale their apps marketing and drive more informed results. Wurl is its connected TV (CTV) platform.</v>
    <v>1533</v>
    <v>Nasdaq Stock Market</v>
    <v>XNAS</v>
    <v>XNAS</v>
    <v>1100 Page Mill Rd, PALO ALTO, CA, 94304-1047 US</v>
    <v>723.49</v>
    <v>Software &amp; IT Services</v>
    <v>Stock</v>
    <v>46003.041421041409</v>
    <v>83</v>
    <v>696</v>
    <v>242306975900</v>
    <v>APPLOVIN CORPORATION</v>
    <v>APPLOVIN CORPORATION</v>
    <v>697</v>
    <v>88.466999999999999</v>
    <v>703.28</v>
    <v>716.98</v>
    <v>714.5</v>
    <v>337955000</v>
    <v>APP</v>
    <v>APPLOVIN CORPORATION (XNAS:APP)</v>
    <v>3575240</v>
    <v>4565469</v>
    <v>2011</v>
  </rv>
  <rv s="2">
    <v>84</v>
  </rv>
  <rv s="0">
    <v>https://www.bing.com/financeapi/forcetrigger?t=a1v4dm&amp;q=ARCX%3aIAU&amp;form=skydnc</v>
    <v>Learn more on Bing</v>
  </rv>
  <rv s="3">
    <v>6</v>
    <v>IShares:Gold Trust (ARCX:IAU)</v>
    <v>7</v>
    <v>8</v>
    <v>Finance</v>
    <v>9</v>
    <v>en-US</v>
    <v>a1v4dm</v>
    <v>268435456</v>
    <v>1</v>
    <v>Powered by Refinitiv</v>
    <v>82.55</v>
    <v>48.825000000000003</v>
    <v>0.82969999999999999</v>
    <v>0.87</v>
    <v>1.0920000000000001E-2</v>
    <v>0.1</v>
    <v>1.242E-3</v>
    <v>USD</v>
    <v>NYSE Arca</v>
    <v>ARCX</v>
    <v>2.5000000000000001E-3</v>
    <v>80.709900000000005</v>
    <v>ETF</v>
    <v>46003.041667568752</v>
    <v>86</v>
    <v>79.570099999999996</v>
    <v>65205794852.510002</v>
    <v>IShares:Gold Trust</v>
    <v>79.67</v>
    <v>79.67</v>
    <v>80.540000000000006</v>
    <v>80.64</v>
    <v>IAU</v>
    <v>IShares:Gold Trust (ARCX:IAU)</v>
    <v>13195659</v>
    <v>8632517</v>
  </rv>
  <rv s="2">
    <v>87</v>
  </rv>
  <rv s="0">
    <v>https://www.bing.com/financeapi/forcetrigger?t=a1sxp2&amp;q=XNYS%3aFIX&amp;form=skydnc</v>
    <v>Learn more on Bing</v>
  </rv>
  <rv s="1">
    <v>0</v>
    <v>COMFORT SYSTEMS USA, INC. (XNYS:FIX)</v>
    <v>2</v>
    <v>3</v>
    <v>Finance</v>
    <v>4</v>
    <v>en-US</v>
    <v>a1sxp2</v>
    <v>268435456</v>
    <v>1</v>
    <v>Powered by Refinitiv</v>
    <v>1036.665</v>
    <v>276.44</v>
    <v>1.6546000000000001</v>
    <v>3.56</v>
    <v>3.4860000000000004E-3</v>
    <v>-1.92</v>
    <v>-1.8729999999999999E-3</v>
    <v>USD</v>
    <v>Comfort Systems USA, Inc. is a provider of commercial, industrial and institutional heating, ventilation, air conditioning (HVAC) and electrical contracting services. The Company operates through two segments: Mechanical and Electrical. The Mechanical segment includes HVAC, plumbing, piping, and controls, as well as off-site construction, monitoring and fire protection. It also installs connecting and distribution elements, such as piping and ducting. The Electrical segment includes installation and servicing of electrical systems. It builds, installs, maintains, repairs and replaces mechanical, electrical and plumbing (MEP) systems throughout its 47 operating units with 178 locations in 136 cities across the nation. It is engaged in offering engineering, design-assist and turnkey, direct hire construction services of modular systems serving the advanced technology, power and industrial sectors. It also provides mechanical construction services to the commercial and industrial sectors.</v>
    <v>18300</v>
    <v>New York Stock Exchange</v>
    <v>XNYS</v>
    <v>XNYS</v>
    <v>9753 Katy Freeway, Suite 700, HOUSTON, TX, 77024 US</v>
    <v>1025.4000000000001</v>
    <v>Construction &amp; Engineering</v>
    <v>Stock</v>
    <v>46003.039424895309</v>
    <v>89</v>
    <v>975.05</v>
    <v>36150926994</v>
    <v>COMFORT SYSTEMS USA, INC.</v>
    <v>COMFORT SYSTEMS USA, INC.</v>
    <v>1016.395</v>
    <v>43.401699999999998</v>
    <v>1021.36</v>
    <v>1024.92</v>
    <v>1023</v>
    <v>35271950</v>
    <v>FIX</v>
    <v>COMFORT SYSTEMS USA, INC. (XNYS:FIX)</v>
    <v>438865</v>
    <v>520925</v>
    <v>1996</v>
  </rv>
  <rv s="2">
    <v>90</v>
  </rv>
  <rv s="0">
    <v>https://www.bing.com/financeapi/forcetrigger?t=a1o2lh&amp;q=XNYS%3aAXP&amp;form=skydnc</v>
    <v>Learn more on Bing</v>
  </rv>
  <rv s="1">
    <v>0</v>
    <v>AMERICAN EXPRESS COMPANY (XNYS:AXP)</v>
    <v>2</v>
    <v>3</v>
    <v>Finance</v>
    <v>4</v>
    <v>en-US</v>
    <v>a1o2lh</v>
    <v>268435456</v>
    <v>1</v>
    <v>Powered by Refinitiv</v>
    <v>385.92</v>
    <v>220.43</v>
    <v>1.1532</v>
    <v>9.32</v>
    <v>2.4815999999999998E-2</v>
    <v>1.31</v>
    <v>3.4039999999999999E-3</v>
    <v>USD</v>
    <v>American Express Company is a globally integrated payments company with card-issuing, merchant-acquiring and card network businesses. It offers products and services to a range of customers, including consumers, small businesses, mid-sized companies and large corporations around the world. Its segments include U.S. Consumer Services (USCS), Commercial Services (CS), International Card Services (ICS) and Global Merchant and Network Services (GMNS). USCS offers travel and lifestyle services as well as banking and non-card financing products. CS offers payment and expense management, banking and non-card financing products. ICS provides services to international customers, including travel and lifestyle services, and manages certain international joint ventures and its loyalty coalition business. GMNS operates a payments network that processes and settles card transactions, acquires merchants and provides multichannel marketing programs and capabilities, services and data analytics.</v>
    <v>75100</v>
    <v>New York Stock Exchange</v>
    <v>XNYS</v>
    <v>XNYS</v>
    <v>200 Vesey Street, 50Th Floor, NEW YORK, NY, 10285 US</v>
    <v>385.92</v>
    <v>Banking Services</v>
    <v>Stock</v>
    <v>46003.041620474221</v>
    <v>92</v>
    <v>375.6</v>
    <v>265132092324</v>
    <v>AMERICAN EXPRESS COMPANY</v>
    <v>AMERICAN EXPRESS COMPANY</v>
    <v>376.5</v>
    <v>25.8368</v>
    <v>375.57</v>
    <v>384.89</v>
    <v>386.2</v>
    <v>688851600</v>
    <v>AXP</v>
    <v>AMERICAN EXPRESS COMPANY (XNYS:AXP)</v>
    <v>2976229</v>
    <v>2520026</v>
    <v>1965</v>
  </rv>
  <rv s="2">
    <v>93</v>
  </rv>
  <rv s="0">
    <v>https://www.bing.com/financeapi/forcetrigger?t=a1pv77&amp;q=XNYS%3aCLS&amp;form=skydnc</v>
    <v>Learn more on Bing</v>
  </rv>
  <rv s="1">
    <v>0</v>
    <v>CELESTICA INC. (XNYS:CLS)</v>
    <v>2</v>
    <v>21</v>
    <v>Finance</v>
    <v>4</v>
    <v>en-US</v>
    <v>a1pv77</v>
    <v>268435456</v>
    <v>1</v>
    <v>Powered by Refinitiv</v>
    <v>363.4</v>
    <v>58.05</v>
    <v>1.4722</v>
    <v>2.75</v>
    <v>7.8869999999999999E-3</v>
    <v>-3.81</v>
    <v>-1.0842000000000001E-2</v>
    <v>USD</v>
    <v>Celestica Inc. is engaged in designing, manufacturing and providing hardware platform and supply chain solutions. It delivers supply chain solutions globally to customers in two operating segments: Advanced Technology Solutions (ATS) and Connectivity &amp; Cloud Solutions (CCS). The ATS segment consists of its ATS end market and comprises its Aerospace &amp; Defense (A&amp;D), Industrial, HealthTech, and Capital Equipment businesses. Its Capital Equipment business comprises its semiconductor, display, and robotics equipment businesses. The CCS segment consists of its communications and enterprise end markets. The enterprise end market consists of Celestica’s servers and storage businesses. It offers a range of product manufacturing and related supply chain services to customers in both of its segments, including design and development, new product introduction, engineering services, component sourcing, electronics manufacturing and assembly, testing, systems integration, among others.</v>
    <v>26865</v>
    <v>New York Stock Exchange</v>
    <v>XNYS</v>
    <v>XNYS</v>
    <v>5140 Yonge Street, Suite 1900, TORONTO, ON, M2N 6L7 CA</v>
    <v>351.83</v>
    <v>Electronic Equipment &amp; Parts</v>
    <v>Stock</v>
    <v>46003.041202997658</v>
    <v>95</v>
    <v>327</v>
    <v>55395880000</v>
    <v>CELESTICA INC.</v>
    <v>CELESTICA INC.</v>
    <v>341.53</v>
    <v>57.051000000000002</v>
    <v>348.66</v>
    <v>351.41</v>
    <v>347.6</v>
    <v>115036600</v>
    <v>CLS</v>
    <v>CELESTICA INC. (XNYS:CLS)</v>
    <v>2890387</v>
    <v>3062549</v>
    <v>1996</v>
  </rv>
  <rv s="2">
    <v>96</v>
  </rv>
  <rv s="0">
    <v>https://www.bing.com/financeapi/forcetrigger?t=a1s1gh&amp;q=XNYS%3aENVA&amp;form=skydnc</v>
    <v>Learn more on Bing</v>
  </rv>
  <rv s="1">
    <v>0</v>
    <v>ENOVA INTERNATIONAL, INC. (XNYS:ENVA)</v>
    <v>2</v>
    <v>3</v>
    <v>Finance</v>
    <v>4</v>
    <v>en-US</v>
    <v>a1s1gh</v>
    <v>268435456</v>
    <v>1</v>
    <v>Powered by Refinitiv</v>
    <v>161.29</v>
    <v>79.406999999999996</v>
    <v>1.2871999999999999</v>
    <v>16.52</v>
    <v>0.11683199999999999</v>
    <v>-0.22</v>
    <v>-1.3930000000000001E-3</v>
    <v>USD</v>
    <v>Enova International, Inc. is an online financial services company that serves small businesses and consumers. The Company's online financing products and services provide customers with a deposit of funds to their bank account in exchange for a commitment to repay the amount deposited plus fees and/or interest. Its products and services include consumer installment loans, small business installment loans, consumer line of credit accounts, small business line of credit accounts, CSO program, bank programs, and money transfer business. It provides its services in the United States and Brazil. In the United States it markets its financing products under the names CashNetUSA at www.cashnetusa.com, NetCredit at www.netcredit.com, OnDeck at www.ondeck.com and Headway Capital at www.headwaycapital.com, and it markets its money transfer platform under the name Pangea. In Brazil, it operates under the name Simplic, where it arranges unsecured consumer installment loans for a third-party lender.</v>
    <v>1787</v>
    <v>New York Stock Exchange</v>
    <v>XNYS</v>
    <v>XNYS</v>
    <v>175 W. Jackson Blvd., Suite 600, CHICAGO, IL, 60604 US</v>
    <v>161.29</v>
    <v>Banking Services</v>
    <v>Stock</v>
    <v>46003.001564166407</v>
    <v>98</v>
    <v>142.47499999999999</v>
    <v>3916665513</v>
    <v>ENOVA INTERNATIONAL, INC.</v>
    <v>ENOVA INTERNATIONAL, INC.</v>
    <v>142.68</v>
    <v>14.507199999999999</v>
    <v>141.4</v>
    <v>157.91999999999999</v>
    <v>157.69999999999999</v>
    <v>24801580</v>
    <v>ENVA</v>
    <v>ENOVA INTERNATIONAL, INC. (XNYS:ENVA)</v>
    <v>751701</v>
    <v>199332</v>
    <v>2011</v>
  </rv>
  <rv s="2">
    <v>99</v>
  </rv>
  <rv s="0">
    <v>https://www.bing.com/financeapi/forcetrigger?t=a23qmw&amp;q=XNAS%3aSTRL&amp;form=skydnc</v>
    <v>Learn more on Bing</v>
  </rv>
  <rv s="1">
    <v>0</v>
    <v>Sterling Infrastructure, Inc. (XNAS:STRL)</v>
    <v>2</v>
    <v>3</v>
    <v>Finance</v>
    <v>4</v>
    <v>en-US</v>
    <v>a23qmw</v>
    <v>268435456</v>
    <v>1</v>
    <v>Powered by Refinitiv</v>
    <v>419.14</v>
    <v>96.34</v>
    <v>1.4805999999999999</v>
    <v>8.9</v>
    <v>2.6838999999999998E-2</v>
    <v>-0.51</v>
    <v>-1.498E-3</v>
    <v>USD</v>
    <v>Sterling Infrastructure, Inc. operates through a variety of subsidiaries within three segments specializing in E-Infrastructure, Transportation and Building Solutions in the United States. It serves Southern, Northeastern, Mid-Atlantic and Rocky Mountain regions and the Pacific Islands. E-Infrastructure Solutions provides advanced, site development services and electrical services for data centers, semiconductor fabrication, manufacturing, distribution centers, warehousing, and power generation. Transportation Solutions includes infrastructure and rehabilitation projects for highways, roads, bridges, airports, ports, rail and storm drainage systems. Building Solutions include residential and commercial concrete foundations for single-family and multifamily homes, parking structures, elevated slabs, other concrete work, plumbing services, and surveys for new single-family residential builds. The principal geographic market for the Company’s residential business is Texas.</v>
    <v>3000</v>
    <v>Nasdaq Stock Market</v>
    <v>XNAS</v>
    <v>XNAS</v>
    <v>1800 Hughes Landing Blvd., Suite 250, THE WOODLANDS, TX, 77380 US</v>
    <v>343.8</v>
    <v>Construction &amp; Engineering</v>
    <v>Stock</v>
    <v>46003.040898135936</v>
    <v>101</v>
    <v>321.69</v>
    <v>10460252678</v>
    <v>Sterling Infrastructure, Inc.</v>
    <v>Sterling Infrastructure, Inc.</v>
    <v>329.68</v>
    <v>33.354599999999998</v>
    <v>331.61</v>
    <v>340.51</v>
    <v>340</v>
    <v>30719370</v>
    <v>STRL</v>
    <v>Sterling Infrastructure, Inc. (XNAS:STRL)</v>
    <v>527091</v>
    <v>869882</v>
    <v>1991</v>
  </rv>
  <rv s="2">
    <v>102</v>
  </rv>
  <rv s="0">
    <v>https://www.bing.com/financeapi/forcetrigger?t=af7u7w&amp;q=XFRA%3aDBK&amp;form=skydnc</v>
    <v>Learn more on Bing</v>
  </rv>
  <rv s="9">
    <v>22</v>
    <v>Deutsche Bank AG (XFRA:DBK)</v>
    <v>2</v>
    <v>23</v>
    <v>Finance</v>
    <v>24</v>
    <v>en-US</v>
    <v>af7u7w</v>
    <v>268435456</v>
    <v>1</v>
    <v>Powered by Refinitiv</v>
    <v>33.5</v>
    <v>4.468</v>
    <v>1.1412</v>
    <v>0.63500000000000001</v>
    <v>1.9720000000000001E-2</v>
    <v>EUR</v>
    <v>Deutsche Bank Aktiengesellschaft is a bank and holding company for its subsidiaries. The Company offers a range of services such as investment, financial and related products and services to private individuals, corporate entities, and institutional clients. It operates through four business divisions: Corporate Bank, Investment Bank, Private Bank and Asset Management. The Corporate Bank division serves corporate clients and financial institutions, offering cash management, trade finance, lending, foreign exchange, trust and agency services, correspondent banking, and securities services. The Investment Bank division includes Fixed Income &amp; Currencies (FIC) Sales &amp; Trading, Origination &amp; Advisory, and Deutsche Bank Research. The Private Bank division focuses on personal and private clients, wealthy individuals, entrepreneurs and families. The Asset Management division operates under the brand DWS, and it serves a diverse client base of retail and institutional investors worldwide.</v>
    <v>90330</v>
    <v>Deutsche Boerse AG</v>
    <v>XFRA</v>
    <v>XFRA</v>
    <v>Taunusanlage 12, FRANKFURT AM MAIN, HESSEN, 60325 DE</v>
    <v>32.9</v>
    <v>Banking Services</v>
    <v>Stock</v>
    <v>46002.878472222219</v>
    <v>104</v>
    <v>31.94</v>
    <v>62353830000</v>
    <v>Deutsche Bank AG</v>
    <v>Deutsche Bank AG</v>
    <v>31.94</v>
    <v>13.41</v>
    <v>32.200000000000003</v>
    <v>32.83</v>
    <v>1948253000</v>
    <v>DBK</v>
    <v>Deutsche Bank AG (XFRA:DBK)</v>
    <v>36801</v>
    <v>3241100</v>
    <v>1952</v>
  </rv>
  <rv s="2">
    <v>105</v>
  </rv>
  <rv s="0">
    <v>https://www.bing.com/financeapi/forcetrigger?t=a1ulw7&amp;q=XNYS%3aHESM&amp;form=skydnc</v>
    <v>Learn more on Bing</v>
  </rv>
  <rv s="1">
    <v>0</v>
    <v>HESS MIDSTREAM LP (XNYS:HESM)</v>
    <v>2</v>
    <v>3</v>
    <v>Finance</v>
    <v>4</v>
    <v>en-US</v>
    <v>a1ulw7</v>
    <v>268435456</v>
    <v>1</v>
    <v>Powered by Refinitiv</v>
    <v>44.14</v>
    <v>31.63</v>
    <v>0.58089999999999997</v>
    <v>-0.02</v>
    <v>-5.8020000000000001E-4</v>
    <v>0.27</v>
    <v>7.8370000000000002E-3</v>
    <v>USD</v>
    <v>Hess Midstream LP is a midstream company that owns, operates, develops and acquires a diverse set of midstream assets to provide services to the Company and third-party customers. It owns oil, gas and produces water handling assets that are located in the Bakken and Three Forks Shale plays in the Williston Basin area of North Dakota. Its gathering segment includes Hess North Dakota Pipeline Operations LP and Hess Water Services Holdings LLC, which owns natural gas gathering and compression, crude oil gathering, and produced water gathering and disposal. Its processing and storage segment includes Hess TGP Operations LP and Hess Mentor Storage Holdings LLC, which owns Tioga gas plant, an equity investment in LM4 Joint Venture, and mentor storage terminal. Its terminaling and export segment includes Hess North Dakota Export Logistics Operations LP, which owns Ramberg Terminal Facility, Tioga Rail Terminal, Crude Oil Rail Cars, Johnson's Corner Header System, and other DAPL connections.</v>
    <v>220</v>
    <v>New York Stock Exchange</v>
    <v>XNYS</v>
    <v>XNYS</v>
    <v>1501 Mckinney Street, HOUSTON, TX, 77010 US</v>
    <v>34.700000000000003</v>
    <v>Oil &amp; Gas Related Equipment and Services</v>
    <v>Stock</v>
    <v>46003.027840856252</v>
    <v>107</v>
    <v>34.29</v>
    <v>7154427865</v>
    <v>HESS MIDSTREAM LP</v>
    <v>HESS MIDSTREAM LP</v>
    <v>34.43</v>
    <v>12.224500000000001</v>
    <v>34.47</v>
    <v>34.450000000000003</v>
    <v>34.72</v>
    <v>207675700</v>
    <v>HESM</v>
    <v>HESS MIDSTREAM LP (XNYS:HESM)</v>
    <v>1641741</v>
    <v>1737229</v>
    <v>2019</v>
  </rv>
  <rv s="2">
    <v>108</v>
  </rv>
  <rv s="0">
    <v>https://www.bing.com/financeapi/forcetrigger?t=a26dyc&amp;q=XNAS%3aYNDX&amp;form=skydnc</v>
    <v>Learn more on Bing</v>
  </rv>
  <rv s="1">
    <v>0</v>
    <v>Nebius Group NV (XNAS:NBIS)</v>
    <v>2</v>
    <v>3</v>
    <v>Finance</v>
    <v>4</v>
    <v>en-US</v>
    <v>a26dyc</v>
    <v>268435456</v>
    <v>1</v>
    <v>Powered by Refinitiv</v>
    <v>141.1</v>
    <v>18.309999999999999</v>
    <v>-11.726000000000001</v>
    <v>0.69</v>
    <v>7.3729999999999993E-3</v>
    <v>-0.48</v>
    <v>-5.091E-3</v>
    <v>USD</v>
    <v>Nebius Group NV is a Netherlands-based infrastructure company operating in the technology industry. The Company is engaged in developing a portfolio of artificial intelligence-related technology assets. It is involved in creating an artificial intelligence-centric player to integrate the essential elements of artificial intelligence development with infrastructure, data and advisory globally. It offers products and services such as a cloud platform for artificial intelligence-related workloads, development team services for autonomous vehicles, development of generative artificial intelligence. Nebius builds full-stack infrastructure to service the growth of the global AI industry, including GPU clusters, cloud platforms and tools and services for developers. Company is developing three other businesses that operate under their own brands: Toloka AI, TripleTen and Avride.</v>
    <v>1371</v>
    <v>Nasdaq Stock Market</v>
    <v>XNAS</v>
    <v>XNAS</v>
    <v>Gustav Mahlerlaan 300, AMSTERDAM, NOORD-HOLLAND, 1082 ME NL</v>
    <v>95.45</v>
    <v>Professional &amp; Commercial Services</v>
    <v>Stock</v>
    <v>46003.041626782033</v>
    <v>110</v>
    <v>86.7</v>
    <v>23740382816</v>
    <v>Nebius Group NV</v>
    <v>Nebius Group NV</v>
    <v>89.2</v>
    <v>104.976</v>
    <v>93.59</v>
    <v>94.28</v>
    <v>93.8</v>
    <v>251807200</v>
    <v>NBIS</v>
    <v>Nebius Group NV (XNAS:NBIS)</v>
    <v>11896082</v>
    <v>21760948</v>
    <v>2004</v>
  </rv>
  <rv s="2">
    <v>111</v>
  </rv>
  <rv s="0">
    <v>https://www.bing.com/financeapi/forcetrigger?t=a255dm&amp;q=XNYS%3aUUUU&amp;form=skydnc</v>
    <v>Learn more on Bing</v>
  </rv>
  <rv s="10">
    <v>25</v>
    <v>ENERGY FUELS INCORPORATED (XNYS:UUUU)</v>
    <v>2</v>
    <v>26</v>
    <v>Finance</v>
    <v>4</v>
    <v>en-US</v>
    <v>a255dm</v>
    <v>268435456</v>
    <v>1</v>
    <v>Powered by Refinitiv</v>
    <v>27.33</v>
    <v>3.2</v>
    <v>1.4705999999999999</v>
    <v>0.96</v>
    <v>6.4603000000000008E-2</v>
    <v>8.7999999999999995E-2</v>
    <v>5.5630000000000002E-3</v>
    <v>USD</v>
    <v>Energy Fuels Inc. is a global critical mineral company. The Company produces several of the raw materials needed for clean energy and advanced technologies, including uranium, vanadium, heavy mineral sand (HMS) and rare earth elements (REE). Its projects include the Nichols Ranch Project, the White Mesa Mill, the Pinyon Plain Project, the Roca Honda Project, the Sheep Mountain Project, the Bullfrog Project, the La Sal Project, the Toliara Project, the Donald Project, the Bahia Project, the Kwale Project and others. The Toliara Project is an HMS and REE project located in southwestern Madagascar that is in the permitting and development phase. The Donald Project is in the Wimmera region of Victoria, Australia. It is located approximately 300 kilometers (km) northwest of Melbourne. The Bahia Project is an HMS and REE project comprised of 19 heavy mineral concessions covering 41,951 acres or 65.5 square miles located in Brazil, that is in the exploration/permitting phase.</v>
    <v>1370</v>
    <v>New York Stock Exchange</v>
    <v>XNYS</v>
    <v>XNYS</v>
    <v>225 Union Blvd., Suite 600, LAKEWOOD, CO, 80228 US</v>
    <v>16.04</v>
    <v>Uranium</v>
    <v>Stock</v>
    <v>46003.041666805468</v>
    <v>113</v>
    <v>14.53</v>
    <v>3753877176</v>
    <v>ENERGY FUELS INCORPORATED</v>
    <v>ENERGY FUELS INCORPORATED</v>
    <v>14.63</v>
    <v>14.86</v>
    <v>15.82</v>
    <v>15.907999999999999</v>
    <v>237286800</v>
    <v>UUUU</v>
    <v>ENERGY FUELS INCORPORATED (XNYS:UUUU)</v>
    <v>9557924</v>
    <v>12063635</v>
    <v>1987</v>
  </rv>
  <rv s="2">
    <v>114</v>
  </rv>
  <rv s="0">
    <v>http://pt.wikipedia.org/wiki/Oracle_Corporation</v>
    <v>Wikipedia</v>
  </rv>
  <rv s="4">
    <v>24</v>
    <v>116</v>
  </rv>
  <rv s="5">
    <v>14</v>
    <v>https://www.bing.com/th?id=AMMS_672116c618c664d13b2515d6587ba357&amp;qlt=95</v>
    <v>117</v>
    <v>0</v>
    <v>https://www.bing.com/images/search?form=xlimg&amp;q=oracle+corporation</v>
    <v>Image of ORACLE CORPORATION</v>
  </rv>
  <rv s="0">
    <v>https://www.bing.com/financeapi/forcetrigger?t=a1zbec&amp;q=XNYS%3aORCL&amp;form=skydnc</v>
    <v>Learn more on Bing</v>
  </rv>
  <rv s="6">
    <v>10</v>
    <v>ORACLE CORPORATION (XNYS:ORCL)</v>
    <v>12</v>
    <v>13</v>
    <v>Finance</v>
    <v>4</v>
    <v>en-US</v>
    <v>a1zbec</v>
    <v>268435456</v>
    <v>1</v>
    <v>Powered by Refinitiv</v>
    <v>345.72</v>
    <v>118.86</v>
    <v>1.6418999999999999</v>
    <v>-24.16</v>
    <v>-0.108336</v>
    <v>-1.8</v>
    <v>-9.0519999999999993E-3</v>
    <v>USD</v>
    <v>Oracle Corporation offers integrated suites of applications plus secure, autonomous infrastructure in the Oracle Cloud. The Company operates through three businesses: cloud and license, hardware and service. Its cloud and license business is engaged in the sale, marketing and delivery of its enterprise applications and infrastructure technologies through cloud and on-premise deployment models including its cloud services and license support offerings, and its cloud license and on-premise license offerings. Its hardware business provides infrastructure technologies including Oracle Engineered Systems, servers, storage, industry-specific hardware, operating systems, virtualization, management and other hardware-related software to support diverse IT environments. Its services business provides services to customers and partners to help maximize the performance of their investments in Oracle applications and infrastructure technologies.</v>
    <v>162000</v>
    <v>New York Stock Exchange</v>
    <v>XNYS</v>
    <v>XNYS</v>
    <v>2300 Oracle Way, AUSTIN, TX, 78741 US</v>
    <v>201.99</v>
    <v>118</v>
    <v>Software &amp; IT Services</v>
    <v>Stock</v>
    <v>46003.04166538125</v>
    <v>119</v>
    <v>186.23</v>
    <v>566880188050</v>
    <v>ORACLE CORPORATION</v>
    <v>ORACLE CORPORATION</v>
    <v>190.62</v>
    <v>37.364899999999999</v>
    <v>223.01</v>
    <v>198.85</v>
    <v>197.05</v>
    <v>2850793000</v>
    <v>ORCL</v>
    <v>ORACLE CORPORATION (XNYS:ORCL)</v>
    <v>100612691</v>
    <v>24064972</v>
    <v>2005</v>
  </rv>
  <rv s="2">
    <v>120</v>
  </rv>
  <rv s="11">
    <v>27</v>
    <v>NEOS Nasdaq-100 High Inc (XNAS:QQQI)</v>
    <v>28</v>
    <v>29</v>
    <v>Finance</v>
    <v>9</v>
    <v>en-US</v>
    <v>ccac3m</v>
    <v>268435456</v>
    <v>1</v>
    <v>Powered by Refinitiv</v>
    <v>55.93</v>
    <v>41.170099999999998</v>
    <v>-0.08</v>
    <v>-1.4519999999999999E-3</v>
    <v>-0.02</v>
    <v>-3.635E-4</v>
    <v>USD</v>
    <v>Nasdaq Stock Market</v>
    <v>XNAS</v>
    <v>6.8000000000000005E-3</v>
    <v>55.034999999999997</v>
    <v>ETF</v>
    <v>46003.040363853906</v>
    <v>54.45</v>
    <v>6677451241.8100004</v>
    <v>NEOS Nasdaq-100 High Inc</v>
    <v>54.9</v>
    <v>55.1</v>
    <v>55.02</v>
    <v>55</v>
    <v>QQQI</v>
    <v>NEOS Nasdaq-100 High Inc (XNAS:QQQI)</v>
    <v>4447976</v>
    <v>4293316</v>
  </rv>
  <rv s="2">
    <v>122</v>
  </rv>
  <rv s="12">
    <v>30</v>
    <v>NEOS S&amp;P 500 High Income (BATS:SPYI)</v>
    <v>28</v>
    <v>8</v>
    <v>Finance</v>
    <v>31</v>
    <v>en-US</v>
    <v>c786fr</v>
    <v>268435456</v>
    <v>1</v>
    <v>Powered by Refinitiv</v>
    <v>53.15</v>
    <v>41.6</v>
    <v>0.70120000000000005</v>
    <v>0.11</v>
    <v>2.0739999999999999E-3</v>
    <v>0.05</v>
    <v>9.4070000000000004E-4</v>
    <v>USD</v>
    <v>CBOE BZX Exchange</v>
    <v>BATS</v>
    <v>6.8000000000000005E-3</v>
    <v>53.15</v>
    <v>ETF</v>
    <v>46002.041741573441</v>
    <v>52.71</v>
    <v>6299160744</v>
    <v>NEOS S&amp;P 500 High Income</v>
    <v>52.91</v>
    <v>53.04</v>
    <v>53.15</v>
    <v>53.2</v>
    <v>SPYI</v>
    <v>NEOS S&amp;P 500 High Income (BATS:SPYI)</v>
    <v>1826664</v>
    <v>2653222</v>
  </rv>
  <rv s="2">
    <v>124</v>
  </rv>
  <rv s="0">
    <v>https://www.bing.com/financeapi/forcetrigger?t=a24g52&amp;q=XNAS%3aTQQQ&amp;form=skydnc</v>
    <v>Learn more on Bing</v>
  </rv>
  <rv s="3">
    <v>6</v>
    <v>ProShares:UltP QQQ (XNAS:TQQQ)</v>
    <v>7</v>
    <v>8</v>
    <v>Finance</v>
    <v>9</v>
    <v>en-US</v>
    <v>a24g52</v>
    <v>268435456</v>
    <v>1</v>
    <v>Powered by Refinitiv</v>
    <v>60.685000000000002</v>
    <v>17.5</v>
    <v>3.1355</v>
    <v>-0.54</v>
    <v>-9.5320000000000005E-3</v>
    <v>-0.44059999999999999</v>
    <v>-7.8519999999999996E-3</v>
    <v>USD</v>
    <v>Nasdaq Stock Market</v>
    <v>XNAS</v>
    <v>8.199999999999999E-3</v>
    <v>56.16</v>
    <v>ETF</v>
    <v>46003.041649039063</v>
    <v>126</v>
    <v>53.98</v>
    <v>30895594201.77</v>
    <v>ProShares:UltP QQQ</v>
    <v>55.63</v>
    <v>56.65</v>
    <v>56.11</v>
    <v>55.669400000000003</v>
    <v>TQQQ</v>
    <v>ProShares:UltP QQQ (XNAS:TQQQ)</v>
    <v>99683926</v>
    <v>123791785</v>
  </rv>
  <rv s="2">
    <v>127</v>
  </rv>
  <rv s="0">
    <v>https://www.bing.com/financeapi/forcetrigger?t=a25lrw&amp;q=ARCX%3aVTI&amp;form=skydnc</v>
    <v>Learn more on Bing</v>
  </rv>
  <rv s="3">
    <v>6</v>
    <v>Vanguard TSM Idx;ETF (ARCX:VTI)</v>
    <v>7</v>
    <v>8</v>
    <v>Finance</v>
    <v>9</v>
    <v>en-US</v>
    <v>a25lrw</v>
    <v>268435456</v>
    <v>1</v>
    <v>Powered by Refinitiv</v>
    <v>339.94</v>
    <v>236.42</v>
    <v>1.0014000000000001</v>
    <v>1.1399999999999999</v>
    <v>3.3660000000000001E-3</v>
    <v>-0.1283</v>
    <v>-3.7750000000000001E-4</v>
    <v>USD</v>
    <v>NYSE Arca</v>
    <v>ARCX</v>
    <v>2.9999999999999997E-4</v>
    <v>339.94</v>
    <v>ETF</v>
    <v>46003.041667592188</v>
    <v>129</v>
    <v>336.44349999999997</v>
    <v>567351527281</v>
    <v>Vanguard TSM Idx;ETF</v>
    <v>337.88</v>
    <v>338.73</v>
    <v>339.87</v>
    <v>339.74169999999998</v>
    <v>VTI</v>
    <v>Vanguard TSM Idx;ETF (ARCX:VTI)</v>
    <v>3818952</v>
    <v>3717243</v>
  </rv>
  <rv s="2">
    <v>130</v>
  </rv>
  <rv s="0">
    <v>https://www.bing.com/financeapi/forcetrigger?t=a1ygoc&amp;q=XNAS%3aNFLX&amp;form=skydnc</v>
    <v>Learn more on Bing</v>
  </rv>
  <rv s="1">
    <v>0</v>
    <v>NETFLIX, INC. (XNAS:NFLX)</v>
    <v>2</v>
    <v>3</v>
    <v>Finance</v>
    <v>4</v>
    <v>en-US</v>
    <v>a1ygoc</v>
    <v>268435456</v>
    <v>1</v>
    <v>Powered by Refinitiv</v>
    <v>134.11500000000001</v>
    <v>82.11</v>
    <v>1.7051000000000001</v>
    <v>1.38</v>
    <v>1.4884999999999999E-2</v>
    <v>0.51</v>
    <v>5.4200000000000003E-3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94.82</v>
    <v>Software &amp; IT Services</v>
    <v>Stock</v>
    <v>46003.041653830471</v>
    <v>132</v>
    <v>92.76</v>
    <v>429943784550</v>
    <v>NETFLIX, INC.</v>
    <v>NETFLIX, INC.</v>
    <v>93.894999999999996</v>
    <v>39.305999999999997</v>
    <v>92.71</v>
    <v>94.09</v>
    <v>94.6</v>
    <v>4569495000</v>
    <v>NFLX</v>
    <v>NETFLIX, INC. (XNAS:NFLX)</v>
    <v>43949009</v>
    <v>45790886</v>
    <v>1997</v>
  </rv>
  <rv s="2">
    <v>133</v>
  </rv>
  <rv s="0">
    <v>https://www.bing.com/financeapi/forcetrigger?t=a24kar&amp;q=XNAS%3aTSLA&amp;form=skydnc</v>
    <v>Learn more on Bing</v>
  </rv>
  <rv s="1">
    <v>0</v>
    <v>TESLA, INC. (XNAS:TSLA)</v>
    <v>2</v>
    <v>3</v>
    <v>Finance</v>
    <v>4</v>
    <v>en-US</v>
    <v>a24kar</v>
    <v>268435456</v>
    <v>1</v>
    <v>Powered by Refinitiv</v>
    <v>488.53989999999999</v>
    <v>214.25</v>
    <v>1.837</v>
    <v>-4.5599999999999996</v>
    <v>-1.0101000000000001E-2</v>
    <v>-0.89</v>
    <v>-1.9919999999999998E-3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449.26990000000001</v>
    <v>Automobiles &amp; Auto Parts</v>
    <v>Stock</v>
    <v>46003.041634235939</v>
    <v>135</v>
    <v>440.33</v>
    <v>1486275252910</v>
    <v>TESLA, INC.</v>
    <v>TESLA, INC.</v>
    <v>448.94499999999999</v>
    <v>309.84109999999998</v>
    <v>451.45</v>
    <v>446.89</v>
    <v>446</v>
    <v>3325819000</v>
    <v>TSLA</v>
    <v>TESLA, INC. (XNAS:TSLA)</v>
    <v>55979492</v>
    <v>79739621</v>
    <v>2024</v>
  </rv>
  <rv s="2">
    <v>136</v>
  </rv>
  <rv s="0">
    <v>https://www.bing.com/financeapi/forcetrigger?t=a1qhhw&amp;q=XNYS%3aCTRE&amp;form=skydnc</v>
    <v>Learn more on Bing</v>
  </rv>
  <rv s="1">
    <v>0</v>
    <v>CARETRUST REIT, INC. (XNYS:CTRE)</v>
    <v>2</v>
    <v>3</v>
    <v>Finance</v>
    <v>5</v>
    <v>en-US</v>
    <v>a1qhhw</v>
    <v>268435456</v>
    <v>1</v>
    <v>Powered by Refinitiv</v>
    <v>38.32</v>
    <v>24.79</v>
    <v>0.76870000000000005</v>
    <v>-0.88</v>
    <v>-2.3906999999999998E-2</v>
    <v>0.10829999999999999</v>
    <v>3.0140000000000002E-3</v>
    <v>USD</v>
    <v>CareTrust REIT, Inc. is a self-administered real estate investment trust (REIT). The Company is engaged in the ownership, acquisition, development and leasing of skilled nursing, senior housing and other healthcare-related properties. It has a portfolio of long-term net-leased properties across the United States and United Kingdom. The Company owns, directly or indirectly through joint ventures, and leases to independent operators skilled nursing facilities (SNFs), multiservice campuses, assisted living facilities (ALFs) and independent living facilities (ILFs), consisting of operational beds and units located in various states with the highest concentration of properties by rental income located in California, Texas and Tennessee. Its facilities include Camarillo, San Juan Capistrano, Barton Creek, Bayshire Carlsbad, El Centro Post-Acute Care, Bayshire Rancho Mirage, Weiser Care, Wellspring Health and Rehabilitation of Cascadia, Cornerstone Rehab &amp; Health Care Center, and others.</v>
    <v>21</v>
    <v>New York Stock Exchange</v>
    <v>XNYS</v>
    <v>XNYS</v>
    <v>905 Calle Amanecer, Suite 300, SAN CLEMENTE, CA, 92673 US</v>
    <v>37.19</v>
    <v>Residential &amp; Commercial REIT</v>
    <v>Stock</v>
    <v>46003.009486666408</v>
    <v>138</v>
    <v>35.83</v>
    <v>8023179779</v>
    <v>CARETRUST REIT, INC.</v>
    <v>CARETRUST REIT, INC.</v>
    <v>37</v>
    <v>26.777100000000001</v>
    <v>36.81</v>
    <v>35.93</v>
    <v>36.0383</v>
    <v>223300300</v>
    <v>CTRE</v>
    <v>CARETRUST REIT, INC. (XNYS:CTRE)</v>
    <v>2273202</v>
    <v>1884580</v>
    <v>2013</v>
  </rv>
  <rv s="2">
    <v>139</v>
  </rv>
  <rv s="0">
    <v>https://www.bing.com/financeapi/forcetrigger?t=a1nr2w&amp;q=XNYS%3aAROC&amp;form=skydnc</v>
    <v>Learn more on Bing</v>
  </rv>
  <rv s="1">
    <v>0</v>
    <v>ARCHROCK INC. (XNYS:AROC)</v>
    <v>2</v>
    <v>3</v>
    <v>Finance</v>
    <v>4</v>
    <v>en-US</v>
    <v>a1nr2w</v>
    <v>268435456</v>
    <v>1</v>
    <v>Powered by Refinitiv</v>
    <v>30.44</v>
    <v>20.12</v>
    <v>0.91949999999999998</v>
    <v>0.18</v>
    <v>6.8989999999999998E-3</v>
    <v>0.14000000000000001</v>
    <v>5.3290000000000004E-3</v>
    <v>USD</v>
    <v>Archrock, Inc. is an energy infrastructure company with a primary focus on midstream natural gas compression. The Company is a provider of natural gas compression services to customers in the energy industry throughout the United States. It is a supplier of aftermarket services to customers that own compression equipment. Its segments include Contract Operations and Aftermarket Services. The Contract Operations business is comprised of its owned fleet of natural gas compression equipment that it uses to provide operations services to its customers. The aftermarket services business provides a full range of services to support the compression needs of its customers that own compression equipment, including operations, maintenance, overhaul and reconfiguration services and sales of parts and components. The Company provides comprehensive contract operations services, such as personnel, equipment, tools, materials and supplies to meet its customer’s natural gas compression needs.</v>
    <v>1300</v>
    <v>New York Stock Exchange</v>
    <v>XNYS</v>
    <v>XNYS</v>
    <v>9807 Katy Fwy Ste 100, HOUSTON, TX, 77024-1276 US</v>
    <v>26.39</v>
    <v>Oil &amp; Gas Related Equipment and Services</v>
    <v>Stock</v>
    <v>46003.03910208281</v>
    <v>141</v>
    <v>25.67</v>
    <v>4606959392</v>
    <v>ARCHROCK INC.</v>
    <v>ARCHROCK INC.</v>
    <v>25.93</v>
    <v>17.4085</v>
    <v>26.09</v>
    <v>26.27</v>
    <v>26.41</v>
    <v>175369600</v>
    <v>AROC</v>
    <v>ARCHROCK INC. (XNYS:AROC)</v>
    <v>2170479</v>
    <v>1692369</v>
    <v>2007</v>
  </rv>
  <rv s="2">
    <v>142</v>
  </rv>
  <rv s="0">
    <v>https://www.bing.com/financeapi/forcetrigger?t=a1n4gh&amp;q=XNYS%3aAGX&amp;form=skydnc</v>
    <v>Learn more on Bing</v>
  </rv>
  <rv s="1">
    <v>0</v>
    <v>ARGAN, INC. (XNYS:AGX)</v>
    <v>2</v>
    <v>3</v>
    <v>Finance</v>
    <v>4</v>
    <v>en-US</v>
    <v>a1n4gh</v>
    <v>268435456</v>
    <v>1</v>
    <v>Powered by Refinitiv</v>
    <v>399.3</v>
    <v>101.02</v>
    <v>0.62270000000000003</v>
    <v>4.83</v>
    <v>1.4825999999999999E-2</v>
    <v>0.4</v>
    <v>1.2099999999999999E-3</v>
    <v>USD</v>
    <v>Argan, Inc. is a holding company. The Company is a construction firm that conducts operations through its subsidiaries, Gemma Power Systems, LLC and affiliates (GPS), Atlantic Projects Company Limited and affiliates (APC), The Roberts Company, Inc. (TRC), and Southern Maryland Cable, Inc. (SMC). Through GPS and APC, its power industry services, it offers a suite of engineering, procurement, construction, commissioning, maintenance, project development and technical consulting services to the power generation market, including the renewable energy sector. Through TRC, the industrial construction services provide field services and project management that support new plant construction and additions, maintenance turnarounds, shutdowns and emergency mobilizations for industrial plants. Through SMC, its telecommunications infrastructure services provide project management, construction, installation and maintenance services to commercial, local government and federal government customers.</v>
    <v>1595</v>
    <v>New York Stock Exchange</v>
    <v>XNYS</v>
    <v>XNYS</v>
    <v>4075 Wilson Boulevard Suite 440, ARLINGTON, VA, 22203 US</v>
    <v>341</v>
    <v>Construction &amp; Engineering</v>
    <v>Stock</v>
    <v>46003.041412546096</v>
    <v>144</v>
    <v>318.00009999999997</v>
    <v>4586549346</v>
    <v>ARGAN, INC.</v>
    <v>ARGAN, INC.</v>
    <v>325.63</v>
    <v>38.963999999999999</v>
    <v>325.77</v>
    <v>330.6</v>
    <v>331</v>
    <v>13873410</v>
    <v>AGX</v>
    <v>ARGAN, INC. (XNYS:AGX)</v>
    <v>395555</v>
    <v>424665</v>
    <v>1961</v>
  </rv>
  <rv s="2">
    <v>145</v>
  </rv>
  <rv s="13">
    <v>32</v>
    <v>ODDITY TECH LTD (XNAS:ODD)</v>
    <v>16</v>
    <v>33</v>
    <v>Finance</v>
    <v>4</v>
    <v>en-US</v>
    <v>caejh7</v>
    <v>268435456</v>
    <v>1</v>
    <v>Powered by Refinitiv</v>
    <v>79.180400000000006</v>
    <v>35.299999999999997</v>
    <v>-0.33</v>
    <v>-7.3709999999999999E-3</v>
    <v>-0.01</v>
    <v>-2.2499999999999999E-4</v>
    <v>USD</v>
    <v>Oddity Tech Ltd is an Israel-based company engaged in the beauty and wellness sector. The Company is operating a tech platform under its own brand on the Internet, whose purpose is to support a portfolio of brands and services connected to the beauty and wellness market and to develop products customized to the wishes of the Company's clients. The Company is using algorithms and machine learning models to match a corresponding physical product. Advanced biological models and machine learning-based tools are used to find new molecules for beauty and wellness purposes. The Company is active in research and development in areas such as data science, machine learning, and computer vision to enhance its products.</v>
    <v>489</v>
    <v>Nasdaq Stock Market</v>
    <v>XNAS</v>
    <v>XNAS</v>
    <v>8 Haharash, TEL AVIV-YAFO, 6761304 IL</v>
    <v>44.89</v>
    <v>Personal &amp; Household Products &amp; Services</v>
    <v>Stock</v>
    <v>46003.038589421092</v>
    <v>43.35</v>
    <v>2552583382</v>
    <v>ODDITY TECH LTD</v>
    <v>ODDITY TECH LTD</v>
    <v>44.52</v>
    <v>24.850300000000001</v>
    <v>44.77</v>
    <v>44.44</v>
    <v>44.43</v>
    <v>57438870</v>
    <v>ODD</v>
    <v>ODDITY TECH LTD (XNAS:ODD)</v>
    <v>1196425</v>
    <v>1126649</v>
    <v>2013</v>
  </rv>
  <rv s="2">
    <v>147</v>
  </rv>
  <rv s="0">
    <v>https://www.bing.com/financeapi/forcetrigger?t=a1wljc&amp;q=XNYS%3aKO&amp;form=skydnc</v>
    <v>Learn more on Bing</v>
  </rv>
  <rv s="1">
    <v>0</v>
    <v>THE COCA-COLA COMPANY (XNYS:KO)</v>
    <v>2</v>
    <v>3</v>
    <v>Finance</v>
    <v>4</v>
    <v>en-US</v>
    <v>a1wljc</v>
    <v>268435456</v>
    <v>1</v>
    <v>Powered by Refinitiv</v>
    <v>74.38</v>
    <v>60.615000000000002</v>
    <v>0.3846</v>
    <v>-1.1000000000000001</v>
    <v>-1.5667E-2</v>
    <v>0.12</v>
    <v>1.7360000000000001E-3</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70.69</v>
    <v>Beverages</v>
    <v>Stock</v>
    <v>46003.04143957109</v>
    <v>149</v>
    <v>68.790000000000006</v>
    <v>297284197990</v>
    <v>THE COCA-COLA COMPANY</v>
    <v>THE COCA-COLA COMPANY</v>
    <v>70.55</v>
    <v>22.878299999999999</v>
    <v>70.209999999999994</v>
    <v>69.11</v>
    <v>69.23</v>
    <v>4301609000</v>
    <v>KO</v>
    <v>THE COCA-COLA COMPANY (XNYS:KO)</v>
    <v>23124157</v>
    <v>17121790</v>
    <v>1919</v>
  </rv>
  <rv s="2">
    <v>150</v>
  </rv>
  <rv s="0">
    <v>https://www.bing.com/financeapi/forcetrigger?t=a22xh7&amp;q=XNAS%3aSHV&amp;form=skydnc</v>
    <v>Learn more on Bing</v>
  </rv>
  <rv s="3">
    <v>6</v>
    <v>iShares:Sh Trs Bd ETF (XNAS:SHV)</v>
    <v>7</v>
    <v>8</v>
    <v>Finance</v>
    <v>9</v>
    <v>en-US</v>
    <v>a22xh7</v>
    <v>268435456</v>
    <v>1</v>
    <v>Powered by Refinitiv</v>
    <v>110.51</v>
    <v>109.91</v>
    <v>1.1385000000000001</v>
    <v>0.02</v>
    <v>1.8139999999999999E-4</v>
    <v>-0.01</v>
    <v>-9.0690000000000001E-5</v>
    <v>USD</v>
    <v>Nasdaq Stock Market</v>
    <v>XNAS</v>
    <v>1.5E-3</v>
    <v>110.27</v>
    <v>ETF</v>
    <v>46003.038743448436</v>
    <v>152</v>
    <v>110.25</v>
    <v>20734614201.299999</v>
    <v>iShares:Sh Trs Bd ETF</v>
    <v>110.26</v>
    <v>110.25</v>
    <v>110.27</v>
    <v>110.26</v>
    <v>SHV</v>
    <v>iShares:Sh Trs Bd ETF (XNAS:SHV)</v>
    <v>2275454</v>
    <v>2577753</v>
  </rv>
  <rv s="2">
    <v>153</v>
  </rv>
  <rv s="0">
    <v>https://www.bing.com/financeapi/forcetrigger?t=a33pk2&amp;q=CBOE+MKT+VOLATILITY+IDX&amp;form=skydnc</v>
    <v>Learn more on Bing</v>
  </rv>
  <rv s="14">
    <v>34</v>
    <v>CBOE MKT VOLATILITY IDX</v>
    <v>7</v>
    <v>35</v>
    <v>Finance</v>
    <v>36</v>
    <v>en-US</v>
    <v>a33pk2</v>
    <v>268435456</v>
    <v>1</v>
    <v>Powered by Refinitiv</v>
    <v>60.13</v>
    <v>13.24</v>
    <v>-0.92</v>
    <v>-5.8339000000000002E-2</v>
    <v>US</v>
    <v>16.88</v>
    <v>Index</v>
    <v>155</v>
    <v>14.85</v>
    <v>CBOE MKT VOLATILITY IDX</v>
    <v>16.84</v>
    <v>15.77</v>
    <v>14.85</v>
    <v>VIX</v>
    <v>CBOE MKT VOLATILITY IDX</v>
  </rv>
  <rv s="2">
    <v>156</v>
  </rv>
  <rv s="0">
    <v>https://www.bing.com/financeapi/forcetrigger?t=a1u3p2&amp;q=XNAS%3aGOOG&amp;form=skydnc</v>
    <v>Learn more on Bing</v>
  </rv>
  <rv s="1">
    <v>0</v>
    <v>ALPHABET INC. (XNAS:GOOG)</v>
    <v>2</v>
    <v>3</v>
    <v>Finance</v>
    <v>4</v>
    <v>en-US</v>
    <v>a1u3p2</v>
    <v>268435456</v>
    <v>1</v>
    <v>Powered by Refinitiv</v>
    <v>328.67</v>
    <v>142.66</v>
    <v>1.0834999999999999</v>
    <v>-7.3</v>
    <v>-2.2740999999999997E-2</v>
    <v>1.1000000000000001</v>
    <v>3.5070000000000001E-3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190167</v>
    <v>Nasdaq Stock Market</v>
    <v>XNAS</v>
    <v>XNAS</v>
    <v>1600 Amphitheatre Parkway, MOUNTAIN VIEW, CA, 94043 US</v>
    <v>321.99</v>
    <v>Software &amp; IT Services</v>
    <v>Stock</v>
    <v>46003.041647742968</v>
    <v>158</v>
    <v>309.88</v>
    <v>3868246000000</v>
    <v>ALPHABET INC.</v>
    <v>ALPHABET INC.</v>
    <v>321.10000000000002</v>
    <v>30.9772</v>
    <v>321</v>
    <v>313.7</v>
    <v>314.8</v>
    <v>12067000000</v>
    <v>GOOG</v>
    <v>ALPHABET INC. (XNAS:GOOG)</v>
    <v>25912059</v>
    <v>26979641</v>
    <v>2015</v>
  </rv>
  <rv s="2">
    <v>159</v>
  </rv>
  <rv s="15">
    <v>37</v>
    <v>REDDIT INC. (XNYS:RDDT)</v>
    <v>16</v>
    <v>3</v>
    <v>Finance</v>
    <v>4</v>
    <v>en-US</v>
    <v>cchsh7</v>
    <v>268435456</v>
    <v>1</v>
    <v>Powered by Refinitiv</v>
    <v>282.95</v>
    <v>79.749899999999997</v>
    <v>2.3620000000000001</v>
    <v>-4.57</v>
    <v>-1.9193000000000002E-2</v>
    <v>0.21</v>
    <v>8.9919999999999996E-4</v>
    <v>USD</v>
    <v>Reddit, Inc. operates a social platform, Reddit. Reddit is a community of communities. It is built on shared interests, passion, and trust and is home to open and authentic conversations on the Internet. Reddit is a global, digital city where anyone in the world can join a community to learn from one another, engage in authentic conversations, explore passions, research new hobbies, exchange goods and services, create new communities and experiences, share a few laughs, and find belonging. Reddit has thousands of communities, endless conversations, and authentic human connections. Communities on Reddit are organized based on specific interests and are called subreddits. Reddit offers real-time access to evolving and dynamic topics, such as sports, movies, news, fashion, and the latest trends. On Reddit, users can submit, vote, and comment on the topics they care about. It has approximately 100,000+ active communities and approximately 101+ million daily active visitors.</v>
    <v>2233</v>
    <v>New York Stock Exchange</v>
    <v>XNYS</v>
    <v>XNYS</v>
    <v>303 2nd Street, Suite 500S, SAN FRANCISCO, CA, 94107 US</v>
    <v>238</v>
    <v>Software &amp; IT Services</v>
    <v>Stock</v>
    <v>46003.040904224217</v>
    <v>227.2971</v>
    <v>44254849132</v>
    <v>REDDIT INC.</v>
    <v>REDDIT INC.</v>
    <v>235.54</v>
    <v>131.22659999999999</v>
    <v>238.11</v>
    <v>233.54</v>
    <v>233.75</v>
    <v>189495800</v>
    <v>RDDT</v>
    <v>REDDIT INC. (XNYS:RDDT)</v>
    <v>4386042</v>
    <v>4273358</v>
    <v>2011</v>
  </rv>
  <rv s="2">
    <v>161</v>
  </rv>
  <rv s="0">
    <v>https://www.bing.com/financeapi/forcetrigger?t=bvsk7w&amp;q=XNYS%3aPLTR&amp;form=skydnc</v>
    <v>Learn more on Bing</v>
  </rv>
  <rv s="1">
    <v>0</v>
    <v>PALANTIR TECHNOLOGIES INC. (XNAS:PLTR)</v>
    <v>2</v>
    <v>3</v>
    <v>Finance</v>
    <v>4</v>
    <v>en-US</v>
    <v>bvsk7w</v>
    <v>268435456</v>
    <v>1</v>
    <v>Powered by Refinitiv</v>
    <v>207.52</v>
    <v>63.4</v>
    <v>1.5428999999999999</v>
    <v>-0.37</v>
    <v>-1.9689999999999998E-3</v>
    <v>-0.83</v>
    <v>-4.4260000000000002E-3</v>
    <v>USD</v>
    <v>Palantir Technologies Inc. is engaged in building software to assist in counterterrorism investigations and operations. The Company has built four principal software platforms, including Palantir Gotham (Gotham), Palantir Foundry (Foundry), Palantir Apollo (Apollo), and Palantir Artificial Intelligence Platform (AIP). Apollo is a cloud-agnostic, single control layer that coordinates ongoing delivery of new features, security updates, and platform configurations, helping to ensure the continuous operation of critical systems. Gotham enables users to identify patterns hidden deep within datasets, ranging from signals intelligence sources to reports from confidential informants. Foundry transforms the ways organizations operate by creating a central operating system for their data. AIP enables responsible artificial intelligence (AI)-advantage across the enterprise by using primary, core components built to effectively activate large language models and other AI within any organization.</v>
    <v>4414</v>
    <v>Nasdaq Stock Market</v>
    <v>XNAS</v>
    <v>XNAS</v>
    <v>1200 17Th Street, Floor 15, DENVER, CO, 80202 US</v>
    <v>188.05</v>
    <v>Software &amp; IT Services</v>
    <v>Stock</v>
    <v>46003.041588460153</v>
    <v>163</v>
    <v>180.21</v>
    <v>446801109740</v>
    <v>PALANTIR TECHNOLOGIES INC.</v>
    <v>PALANTIR TECHNOLOGIES INC.</v>
    <v>184.8</v>
    <v>438.6388</v>
    <v>187.91</v>
    <v>187.54</v>
    <v>186.71</v>
    <v>2382431000</v>
    <v>PLTR</v>
    <v>PALANTIR TECHNOLOGIES INC. (XNAS:PLTR)</v>
    <v>36843184</v>
    <v>50289333</v>
    <v>2003</v>
  </rv>
  <rv s="2">
    <v>164</v>
  </rv>
  <rv s="0">
    <v>https://www.bing.com/financeapi/forcetrigger?t=a1q6k2&amp;q=XNAS%3aCOST&amp;form=skydnc</v>
    <v>Learn more on Bing</v>
  </rv>
  <rv s="1">
    <v>0</v>
    <v>COSTCO WHOLESALE CORPORATION (XNAS:COST)</v>
    <v>2</v>
    <v>3</v>
    <v>Finance</v>
    <v>4</v>
    <v>en-US</v>
    <v>a1q6k2</v>
    <v>268435456</v>
    <v>1</v>
    <v>Powered by Refinitiv</v>
    <v>1078.2349999999999</v>
    <v>871.09</v>
    <v>1.0106999999999999</v>
    <v>10.07</v>
    <v>1.1516E-2</v>
    <v>-6.22</v>
    <v>-7.0320000000000001E-3</v>
    <v>USD</v>
    <v>Costco Wholesale Corporation (Costco) operates membership warehouses and e-commerce sites that offer a selection of nationally branded and private-label products in a wide range of categories. The Company buys the majority of its merchandise directly from suppliers and route it to cross-docking consolidation points (depots) or directly to its warehouses. It operates 891 warehouses, including 614 in the United States and Puerto Rico, 108 in Canada, 40 in Mexico, 35 in Japan, 29 in the United Kingdom, 19 in Korea, 15 in Australia, 14 in Taiwan, seven in China, five in Spain, two in France, and one each in Iceland, New Zealand and Sweden. It also operates e-commerce sites in the United States, Canada, the United Kingdom, Mexico, Korea, Taiwan, Japan and Australia. The Company provides wide selection of merchandise, plus the convenience of specialty departments and exclusive member services.</v>
    <v>341000</v>
    <v>Nasdaq Stock Market</v>
    <v>XNAS</v>
    <v>XNAS</v>
    <v>999 Lake Dr, ISSAQUAH, WA, 98027- US</v>
    <v>886</v>
    <v>Diversified Retail</v>
    <v>Stock</v>
    <v>46003.041556782031</v>
    <v>166</v>
    <v>872.55010000000004</v>
    <v>392671706496</v>
    <v>COSTCO WHOLESALE CORPORATION</v>
    <v>COSTCO WHOLESALE CORPORATION</v>
    <v>875.86</v>
    <v>47.379100000000001</v>
    <v>874.41</v>
    <v>884.48</v>
    <v>878.26</v>
    <v>443957700</v>
    <v>COST</v>
    <v>COSTCO WHOLESALE CORPORATION (XNAS:COST)</v>
    <v>3041582</v>
    <v>2508964</v>
    <v>1987</v>
  </rv>
  <rv s="2">
    <v>167</v>
  </rv>
  <rv s="0">
    <v>https://www.bing.com/financeapi/forcetrigger?t=a1otrw&amp;q=XNYS%3aBRK.B&amp;form=skydnc</v>
    <v>Learn more on Bing</v>
  </rv>
  <rv s="1">
    <v>0</v>
    <v>BERKSHIRE HATHAWAY INC. (XNYS:BRK.B)</v>
    <v>2</v>
    <v>3</v>
    <v>Finance</v>
    <v>4</v>
    <v>en-US</v>
    <v>a1otrw</v>
    <v>268435456</v>
    <v>1</v>
    <v>Powered by Refinitiv</v>
    <v>542.07000000000005</v>
    <v>440.1</v>
    <v>0.71040000000000003</v>
    <v>5.42</v>
    <v>1.1051999999999999E-2</v>
    <v>0.26</v>
    <v>5.2439999999999995E-4</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498.14499999999998</v>
    <v>Consumer Goods Conglomerates</v>
    <v>Stock</v>
    <v>46003.041208726565</v>
    <v>169</v>
    <v>491.83</v>
    <v>1057829000000</v>
    <v>BERKSHIRE HATHAWAY INC.</v>
    <v>BERKSHIRE HATHAWAY INC.</v>
    <v>491.83</v>
    <v>15.857100000000001</v>
    <v>490.43</v>
    <v>495.85</v>
    <v>496.11</v>
    <v>1438220</v>
    <v>BRK.B</v>
    <v>BERKSHIRE HATHAWAY INC. (XNYS:BRK.B)</v>
    <v>4493445</v>
    <v>5164551</v>
    <v>1998</v>
  </rv>
  <rv s="2">
    <v>170</v>
  </rv>
</rvData>
</file>

<file path=xl/richData/rdrichvaluestructure.xml><?xml version="1.0" encoding="utf-8"?>
<rvStructures xmlns="http://schemas.microsoft.com/office/spreadsheetml/2017/richdata" count="16">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Exchange" t="s"/>
    <k n="Exchange abbreviation" t="s"/>
    <k n="Expense ratio"/>
    <k n="High"/>
    <k n="Instrument type" t="s"/>
    <k n="Last trade time"/>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12">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35">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ExchangeID</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spbArrays>
  <spbData count="38">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4">
      <v>at close</v>
      <v>from previous close</v>
      <v>from previous close</v>
      <v>Source: Nasdaq Last Sale</v>
      <v>GMT</v>
      <v>Real-Time Nasdaq Last Sale</v>
      <v>from close</v>
      <v>from close</v>
    </spb>
    <spb s="0">
      <v>1</v>
      <v>Name</v>
      <v>LearnMoreOnLink</v>
    </spb>
    <spb s="5">
      <v>1</v>
      <v>1</v>
      <v>1</v>
    </spb>
    <spb s="6">
      <v>1</v>
      <v>2</v>
      <v>1</v>
      <v>3</v>
      <v>1</v>
      <v>1</v>
      <v>1</v>
      <v>4</v>
      <v>5</v>
      <v>6</v>
      <v>1</v>
      <v>1</v>
      <v>5</v>
      <v>1</v>
      <v>4</v>
      <v>7</v>
      <v>9</v>
      <v>1</v>
      <v>1</v>
      <v>5</v>
    </spb>
    <spb s="7">
      <v>at close</v>
      <v>from previous close</v>
      <v>Source: Nasdaq</v>
      <v>from previous close</v>
      <v>GMT</v>
      <v>Delayed 15 minutes</v>
      <v>from close</v>
      <v>from close</v>
    </spb>
    <spb s="0">
      <v>2</v>
      <v>Name</v>
      <v>LearnMoreOnLink</v>
    </spb>
    <spb s="8">
      <v>0</v>
      <v>0</v>
    </spb>
    <spb s="9">
      <v>11</v>
      <v>1</v>
      <v>1</v>
      <v>1</v>
      <v>1</v>
    </spb>
    <spb s="10">
      <v>1</v>
      <v>2</v>
      <v>2</v>
      <v>1</v>
      <v>3</v>
      <v>1</v>
      <v>10</v>
      <v>1</v>
      <v>1</v>
      <v>4</v>
      <v>4</v>
      <v>5</v>
      <v>6</v>
      <v>1</v>
      <v>1</v>
      <v>1</v>
      <v>4</v>
      <v>7</v>
      <v>8</v>
      <v>9</v>
      <v>4</v>
      <v>1</v>
      <v>1</v>
      <v>5</v>
    </spb>
    <spb s="11">
      <v>Powered by Refinitiv</v>
    </spb>
    <spb s="12">
      <v>3</v>
      <v>Name</v>
    </spb>
    <spb s="13">
      <v>1</v>
      <v>1</v>
      <v>1</v>
    </spb>
    <spb s="14">
      <v>1</v>
      <v>2</v>
      <v>1</v>
      <v>3</v>
      <v>1</v>
      <v>1</v>
      <v>1</v>
      <v>4</v>
      <v>4</v>
      <v>5</v>
      <v>6</v>
      <v>1</v>
      <v>1</v>
      <v>1</v>
      <v>4</v>
      <v>11</v>
      <v>8</v>
      <v>9</v>
      <v>4</v>
    </spb>
    <spb s="15">
      <v>Delayed 20 minutes</v>
      <v>from previous close</v>
      <v>from previous close</v>
      <v>GMT</v>
    </spb>
    <spb s="12">
      <v>4</v>
      <v>Name</v>
    </spb>
    <spb s="16">
      <v>1</v>
      <v>2</v>
      <v>2</v>
      <v>1</v>
      <v>3</v>
      <v>1</v>
      <v>1</v>
      <v>1</v>
      <v>4</v>
      <v>5</v>
      <v>6</v>
      <v>1</v>
      <v>1</v>
      <v>1</v>
      <v>4</v>
      <v>7</v>
      <v>8</v>
      <v>9</v>
      <v>4</v>
      <v>1</v>
      <v>1</v>
      <v>5</v>
    </spb>
    <spb s="3">
      <v>1</v>
      <v>2</v>
      <v>2</v>
      <v>1</v>
      <v>3</v>
      <v>1</v>
      <v>1</v>
      <v>1</v>
      <v>4</v>
      <v>4</v>
      <v>5</v>
      <v>12</v>
      <v>1</v>
      <v>1</v>
      <v>1</v>
      <v>4</v>
      <v>7</v>
      <v>8</v>
      <v>9</v>
      <v>4</v>
      <v>1</v>
      <v>1</v>
      <v>5</v>
    </spb>
    <spb s="0">
      <v>5</v>
      <v>Name</v>
      <v>LearnMoreOnLink</v>
    </spb>
    <spb s="17">
      <v>13</v>
      <v>2</v>
      <v>2</v>
      <v>13</v>
      <v>3</v>
      <v>13</v>
      <v>13</v>
      <v>13</v>
      <v>4</v>
      <v>4</v>
      <v>5</v>
      <v>14</v>
      <v>13</v>
      <v>13</v>
      <v>13</v>
      <v>4</v>
      <v>7</v>
      <v>8</v>
      <v>9</v>
      <v>4</v>
    </spb>
    <spb s="15">
      <v>Delayed 15 minutes</v>
      <v>from previous close</v>
      <v>from previous close</v>
      <v>GMT</v>
    </spb>
    <spb s="0">
      <v>6</v>
      <v>Name</v>
      <v>LearnMoreOnLink</v>
    </spb>
    <spb s="18">
      <v>1</v>
      <v>2</v>
      <v>1</v>
      <v>3</v>
      <v>1</v>
      <v>1</v>
      <v>1</v>
      <v>4</v>
      <v>4</v>
      <v>5</v>
      <v>6</v>
      <v>1</v>
      <v>1</v>
      <v>1</v>
      <v>4</v>
      <v>7</v>
      <v>8</v>
      <v>9</v>
      <v>4</v>
      <v>1</v>
      <v>1</v>
      <v>5</v>
    </spb>
    <spb s="12">
      <v>7</v>
      <v>Name</v>
    </spb>
    <spb s="19">
      <v>1</v>
      <v>1</v>
    </spb>
    <spb s="20">
      <v>1</v>
      <v>1</v>
      <v>3</v>
      <v>1</v>
      <v>1</v>
      <v>1</v>
      <v>4</v>
      <v>5</v>
      <v>6</v>
      <v>1</v>
      <v>1</v>
      <v>5</v>
      <v>1</v>
      <v>4</v>
      <v>7</v>
      <v>9</v>
      <v>1</v>
      <v>1</v>
      <v>5</v>
    </spb>
    <spb s="12">
      <v>8</v>
      <v>Name</v>
    </spb>
    <spb s="21">
      <v>at close</v>
      <v>from previous close</v>
      <v>from previous close</v>
      <v>GMT</v>
      <v>BATS BZX Real-Time Last Price</v>
      <v>from close</v>
      <v>from close</v>
    </spb>
    <spb s="12">
      <v>9</v>
      <v>Name</v>
    </spb>
    <spb s="22">
      <v>1</v>
      <v>2</v>
      <v>1</v>
      <v>3</v>
      <v>1</v>
      <v>1</v>
      <v>1</v>
      <v>4</v>
      <v>4</v>
      <v>5</v>
      <v>6</v>
      <v>1</v>
      <v>1</v>
      <v>1</v>
      <v>4</v>
      <v>7</v>
      <v>8</v>
      <v>9</v>
      <v>4</v>
      <v>1</v>
      <v>1</v>
      <v>5</v>
    </spb>
    <spb s="0">
      <v>10</v>
      <v>Name</v>
      <v>LearnMoreOnLink</v>
    </spb>
    <spb s="23">
      <v>1</v>
      <v>1</v>
      <v>3</v>
      <v>1</v>
      <v>1</v>
      <v>1</v>
      <v>5</v>
      <v>1</v>
      <v>1</v>
      <v>1</v>
      <v>9</v>
    </spb>
    <spb s="24">
      <v>from previous close</v>
      <v>from previous close</v>
    </spb>
    <spb s="12">
      <v>11</v>
      <v>Name</v>
    </spb>
  </spbData>
</supportingPropertyBags>
</file>

<file path=xl/richData/rdsupportingpropertybagstructure.xml><?xml version="1.0" encoding="utf-8"?>
<spbStructures xmlns="http://schemas.microsoft.com/office/spreadsheetml/2017/richdata2" count="2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Order" t="spba"/>
    <k n="TitleProperty" t="s"/>
  </s>
  <s>
    <k n="ExchangeID" t="spb"/>
    <k n="UniqueName" t="spb"/>
    <k n="`%ProviderInfo" t="spb"/>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P/E"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UniqueName" t="spb"/>
    <k n="`%ProviderInfo" t="spb"/>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Change (%)" t="s"/>
    <k n="Last trade time" t="s"/>
    <k n="Price (Extended hours)" t="s"/>
    <k n="Change (Extended hours)" t="s"/>
    <k n="Change % (Extended hours)" t="s"/>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High" t="i"/>
    <k n="Name" t="i"/>
    <k n="Open" t="i"/>
    <k n="Price" t="i"/>
    <k n="Change" t="i"/>
    <k n="Change (%)" t="i"/>
    <k n="52 week low" t="i"/>
    <k n="52 week high" t="i"/>
    <k n="Previous close" t="i"/>
    <k n="`%EntityServiceId" t="i"/>
  </s>
  <s>
    <k n="Change" t="s"/>
    <k n="Change (%)"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 h:mm"/>
    </x:dxf>
    <x:dxf>
      <x:numFmt numFmtId="14" formatCode="0.00%"/>
    </x:dxf>
    <x:dxf>
      <x:numFmt numFmtId="3" formatCode="#,##0"/>
    </x:dxf>
    <x:dxf>
      <x:numFmt numFmtId="4" formatCode="#,##0.00"/>
    </x:dxf>
    <x:dxf>
      <x:numFmt numFmtId="1" formatCode="0"/>
    </x:dxf>
    <x:dxf>
      <x:numFmt numFmtId="19" formatCode="m/d/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#,##0_);_([$$-en-CA]* (#,##0);_([$$-en-CA]* "-"_);_(@_)</rpv>
    </rSty>
    <rSty dxfid="1">
      <rpv i="0">_([$€-x-euro2] * #,##0.00_);_([$€-x-euro2] * (#,##0.00);_([$€-x-euro2] * "-"??_);_(@_)</rpv>
    </rSty>
    <rSty dxfid="1">
      <rpv i="0">_([$€-x-euro2] * #,##0_);_([$€-x-euro2] * (#,##0);_([$€-x-euro2] *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5EA6ACB-E085-2149-8205-490505EEF44D}">
  <we:reference id="wa104379220" version="8.0.0.0" store="en-US" storeType="OMEX"/>
  <we:alternateReferences>
    <we:reference id="wa104379220" version="8.0.0.0" store="wa104379220" storeType="OMEX"/>
  </we:alternateReferences>
  <we:properties>
    <we:property name="Office.AutoShowTaskpaneWithDocument" value="true"/>
    <we:property name="lastCryptoCompare" value="0"/>
    <we:property name="lastIexCall" value="0"/>
    <we:property name="lastMutualFundsCall" value="0"/>
    <we:property name="stocks" value="{}"/>
    <we:property name="stocksChange" value="{}"/>
    <we:property name="stocksOrder" value="[]"/>
    <we:property name="stocksSources" value="{}"/>
    <we:property name="updateIntervalIndex" value="2"/>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94D15-E2A6-45EE-8172-AF925DE440F4}">
  <sheetPr>
    <pageSetUpPr fitToPage="1"/>
  </sheetPr>
  <dimension ref="A1:Z49"/>
  <sheetViews>
    <sheetView tabSelected="1" zoomScale="69" zoomScaleNormal="100" workbookViewId="0">
      <selection activeCell="G22" sqref="G22"/>
    </sheetView>
  </sheetViews>
  <sheetFormatPr baseColWidth="10" defaultColWidth="8.83203125" defaultRowHeight="16" x14ac:dyDescent="0.2"/>
  <cols>
    <col min="1" max="1" width="23.33203125" style="3" customWidth="1"/>
    <col min="2" max="3" width="11.33203125" style="3" customWidth="1"/>
    <col min="4" max="4" width="16.5" style="3" customWidth="1"/>
    <col min="5" max="5" width="8.83203125" style="3"/>
    <col min="6" max="6" width="8.83203125" style="3" customWidth="1"/>
    <col min="7" max="7" width="17.33203125" style="3" customWidth="1"/>
    <col min="8" max="8" width="8.83203125" style="3"/>
    <col min="9" max="9" width="12.1640625" style="3" customWidth="1"/>
    <col min="10" max="10" width="16" style="3" customWidth="1"/>
    <col min="11" max="11" width="17" style="3" customWidth="1"/>
    <col min="12" max="12" width="14.83203125" style="3" customWidth="1"/>
    <col min="13" max="13" width="17" style="3" customWidth="1"/>
    <col min="14" max="14" width="15.33203125" style="3" customWidth="1"/>
    <col min="15" max="15" width="11.83203125" style="3" customWidth="1"/>
    <col min="16" max="16" width="13.5" style="3" customWidth="1"/>
    <col min="17" max="18" width="8.83203125" style="3"/>
    <col min="19" max="19" width="15.33203125" style="3" customWidth="1"/>
    <col min="20" max="20" width="17.33203125" style="3" customWidth="1"/>
    <col min="21" max="21" width="8.83203125" style="3"/>
    <col min="22" max="22" width="17.33203125" style="3" customWidth="1"/>
    <col min="23" max="16384" width="8.83203125" style="3"/>
  </cols>
  <sheetData>
    <row r="1" spans="1:26" ht="19" x14ac:dyDescent="0.25">
      <c r="A1" s="90" t="s">
        <v>141</v>
      </c>
      <c r="B1" s="91"/>
      <c r="C1" s="91"/>
      <c r="D1" s="91"/>
      <c r="E1" s="91"/>
      <c r="F1" s="91"/>
      <c r="G1" s="91"/>
      <c r="H1" s="91"/>
      <c r="I1" s="91"/>
      <c r="J1" s="91"/>
      <c r="K1" s="91"/>
      <c r="L1" s="91"/>
      <c r="M1" s="92" t="s">
        <v>102</v>
      </c>
      <c r="N1" s="91"/>
      <c r="O1" s="91"/>
      <c r="P1" s="91"/>
      <c r="Q1" s="91"/>
      <c r="R1" s="91"/>
      <c r="S1" s="91"/>
      <c r="T1" s="93" t="s">
        <v>142</v>
      </c>
      <c r="U1" s="94"/>
      <c r="V1" s="15"/>
      <c r="W1" s="15"/>
      <c r="X1" s="15"/>
      <c r="Y1" s="15"/>
      <c r="Z1" s="15"/>
    </row>
    <row r="2" spans="1:26" x14ac:dyDescent="0.2">
      <c r="A2" s="35"/>
      <c r="B2" s="36"/>
      <c r="C2" s="36"/>
      <c r="D2" s="36"/>
      <c r="E2" s="36"/>
      <c r="F2" s="36"/>
      <c r="G2" s="36"/>
      <c r="H2" s="36"/>
      <c r="I2" s="36"/>
      <c r="J2" s="36"/>
      <c r="K2" s="36"/>
      <c r="L2" s="36"/>
      <c r="M2" s="36"/>
      <c r="N2" s="36"/>
      <c r="O2" s="36"/>
      <c r="P2" s="36"/>
      <c r="Q2" s="36"/>
      <c r="R2" s="36"/>
      <c r="S2" s="36"/>
      <c r="T2" s="36"/>
      <c r="U2" s="37"/>
      <c r="V2" s="14"/>
      <c r="W2" s="14"/>
      <c r="X2" s="14"/>
      <c r="Y2" s="14"/>
      <c r="Z2" s="14"/>
    </row>
    <row r="3" spans="1:26" x14ac:dyDescent="0.2">
      <c r="A3" s="44" t="str">
        <f ca="1">"Eric Jiang (" &amp; DATEDIF(A10, TODAY(), "y") &amp; ")"</f>
        <v>Eric Jiang (20)</v>
      </c>
      <c r="B3" s="95"/>
      <c r="C3" s="96"/>
      <c r="D3" s="95"/>
      <c r="E3" s="95"/>
      <c r="F3" s="95"/>
      <c r="G3" s="95"/>
      <c r="H3" s="95"/>
      <c r="I3" s="95"/>
      <c r="J3" s="95"/>
      <c r="K3" s="95"/>
      <c r="L3" s="95"/>
      <c r="M3" s="95"/>
      <c r="N3" s="95"/>
      <c r="O3" s="95"/>
      <c r="P3" s="95"/>
      <c r="Q3" s="95"/>
      <c r="R3" s="95"/>
      <c r="S3" s="95"/>
      <c r="T3" s="95"/>
      <c r="U3" s="97"/>
    </row>
    <row r="4" spans="1:26" x14ac:dyDescent="0.2">
      <c r="A4" s="44" t="s">
        <v>98</v>
      </c>
      <c r="B4" s="95"/>
      <c r="C4" s="95"/>
      <c r="D4" s="95"/>
      <c r="E4" s="95"/>
      <c r="F4" s="95"/>
      <c r="G4" s="95"/>
      <c r="H4" s="95"/>
      <c r="I4" s="95"/>
      <c r="J4" s="95"/>
      <c r="K4" s="95"/>
      <c r="L4" s="95"/>
      <c r="M4" s="95"/>
      <c r="N4" s="95"/>
      <c r="O4" s="95"/>
      <c r="P4" s="95"/>
      <c r="Q4" s="95"/>
      <c r="R4" s="95"/>
      <c r="S4" s="95"/>
      <c r="T4" s="96" t="s">
        <v>101</v>
      </c>
      <c r="U4" s="97"/>
      <c r="V4" s="5"/>
    </row>
    <row r="5" spans="1:26" x14ac:dyDescent="0.2">
      <c r="A5" s="44" t="s">
        <v>30</v>
      </c>
      <c r="B5" s="95"/>
      <c r="C5" s="95"/>
      <c r="D5" s="95"/>
      <c r="E5" s="95"/>
      <c r="F5" s="95"/>
      <c r="G5" s="95"/>
      <c r="H5" s="95"/>
      <c r="I5" s="95"/>
      <c r="J5" s="95"/>
      <c r="K5" s="95"/>
      <c r="L5" s="95"/>
      <c r="M5" s="95"/>
      <c r="N5" s="95"/>
      <c r="O5" s="95"/>
      <c r="P5" s="95"/>
      <c r="Q5" s="95"/>
      <c r="R5" s="95"/>
      <c r="S5" s="95"/>
      <c r="T5" s="95"/>
      <c r="U5" s="97"/>
      <c r="V5" s="6"/>
    </row>
    <row r="6" spans="1:26" x14ac:dyDescent="0.2">
      <c r="A6" s="98" t="s">
        <v>396</v>
      </c>
      <c r="B6" s="95"/>
      <c r="C6" s="95"/>
      <c r="D6" s="95"/>
      <c r="E6" s="95"/>
      <c r="F6" s="95"/>
      <c r="G6" s="99" t="s">
        <v>22</v>
      </c>
      <c r="H6" s="95"/>
      <c r="I6" s="95"/>
      <c r="J6" s="95"/>
      <c r="K6" s="95"/>
      <c r="L6" s="100" t="s">
        <v>28</v>
      </c>
      <c r="M6" s="101"/>
      <c r="N6" s="100" t="s">
        <v>28</v>
      </c>
      <c r="O6" s="95"/>
      <c r="P6" s="95"/>
      <c r="Q6" s="95"/>
      <c r="R6" s="95"/>
      <c r="S6" s="95"/>
      <c r="T6" s="99" t="s">
        <v>22</v>
      </c>
      <c r="U6" s="97"/>
      <c r="V6" s="7"/>
    </row>
    <row r="7" spans="1:26" x14ac:dyDescent="0.2">
      <c r="A7" s="44" t="s">
        <v>395</v>
      </c>
      <c r="B7" s="95"/>
      <c r="C7" s="95"/>
      <c r="D7" s="95"/>
      <c r="E7" s="95"/>
      <c r="F7" s="95"/>
      <c r="G7" s="102" t="s">
        <v>116</v>
      </c>
      <c r="H7" s="95"/>
      <c r="I7" s="95"/>
      <c r="J7" s="95"/>
      <c r="K7" s="95"/>
      <c r="L7" s="103" t="s">
        <v>136</v>
      </c>
      <c r="M7" s="95"/>
      <c r="N7" s="104" t="s">
        <v>136</v>
      </c>
      <c r="O7" s="95"/>
      <c r="P7" s="95"/>
      <c r="Q7" s="95"/>
      <c r="R7" s="95"/>
      <c r="S7" s="95"/>
      <c r="T7" s="102" t="s">
        <v>116</v>
      </c>
      <c r="U7" s="97"/>
      <c r="V7" s="4"/>
    </row>
    <row r="8" spans="1:26" x14ac:dyDescent="0.2">
      <c r="A8" s="44" t="s">
        <v>100</v>
      </c>
      <c r="B8" s="95"/>
      <c r="C8" s="95"/>
      <c r="D8" s="95"/>
      <c r="E8" s="95"/>
      <c r="F8" s="95"/>
      <c r="G8" s="105">
        <v>100000</v>
      </c>
      <c r="H8" s="95"/>
      <c r="I8" s="95"/>
      <c r="J8" s="95"/>
      <c r="K8" s="95"/>
      <c r="L8" s="106">
        <v>1</v>
      </c>
      <c r="M8" s="95"/>
      <c r="N8" s="106">
        <v>1</v>
      </c>
      <c r="O8" s="95"/>
      <c r="P8" s="95"/>
      <c r="Q8" s="95"/>
      <c r="R8" s="95"/>
      <c r="S8" s="95"/>
      <c r="T8" s="105">
        <v>1</v>
      </c>
      <c r="U8" s="97"/>
      <c r="V8" s="8"/>
    </row>
    <row r="9" spans="1:26" x14ac:dyDescent="0.2">
      <c r="A9" s="44" t="s">
        <v>99</v>
      </c>
      <c r="B9" s="95"/>
      <c r="C9" s="95"/>
      <c r="D9" s="107"/>
      <c r="E9" s="95"/>
      <c r="F9" s="95"/>
      <c r="G9" s="108"/>
      <c r="H9" s="95"/>
      <c r="I9" s="95"/>
      <c r="J9" s="95"/>
      <c r="K9" s="95"/>
      <c r="L9" s="44"/>
      <c r="M9" s="95"/>
      <c r="N9" s="97"/>
      <c r="O9" s="95"/>
      <c r="P9" s="95"/>
      <c r="Q9" s="95"/>
      <c r="R9" s="95"/>
      <c r="S9" s="95"/>
      <c r="T9" s="108"/>
      <c r="U9" s="97"/>
      <c r="V9" s="4"/>
    </row>
    <row r="10" spans="1:26" x14ac:dyDescent="0.2">
      <c r="A10" s="109">
        <v>38645</v>
      </c>
      <c r="B10" s="95"/>
      <c r="C10" s="95"/>
      <c r="D10" s="95"/>
      <c r="E10" s="95"/>
      <c r="F10" s="95"/>
      <c r="G10" s="110" t="s">
        <v>110</v>
      </c>
      <c r="H10" s="95"/>
      <c r="I10" s="95"/>
      <c r="J10" s="95"/>
      <c r="K10" s="95"/>
      <c r="L10" s="100" t="s">
        <v>29</v>
      </c>
      <c r="M10" s="95"/>
      <c r="N10" s="100" t="s">
        <v>29</v>
      </c>
      <c r="O10" s="95"/>
      <c r="P10" s="95"/>
      <c r="Q10" s="95"/>
      <c r="R10" s="95"/>
      <c r="S10" s="95"/>
      <c r="T10" s="110" t="s">
        <v>110</v>
      </c>
      <c r="U10" s="97"/>
      <c r="V10" s="7"/>
    </row>
    <row r="11" spans="1:26" x14ac:dyDescent="0.2">
      <c r="A11" s="111">
        <v>45873</v>
      </c>
      <c r="B11" s="95"/>
      <c r="C11" s="95"/>
      <c r="D11" s="95"/>
      <c r="E11" s="95"/>
      <c r="F11" s="95"/>
      <c r="G11" s="112" t="s">
        <v>115</v>
      </c>
      <c r="H11" s="95"/>
      <c r="I11" s="95"/>
      <c r="J11" s="95"/>
      <c r="K11" s="95"/>
      <c r="L11" s="104" t="s">
        <v>137</v>
      </c>
      <c r="M11" s="95"/>
      <c r="N11" s="104" t="s">
        <v>138</v>
      </c>
      <c r="O11" s="95"/>
      <c r="P11" s="95"/>
      <c r="Q11" s="95"/>
      <c r="R11" s="95"/>
      <c r="S11" s="95"/>
      <c r="T11" s="112" t="s">
        <v>115</v>
      </c>
      <c r="U11" s="97"/>
      <c r="V11" s="4"/>
    </row>
    <row r="12" spans="1:26" x14ac:dyDescent="0.2">
      <c r="A12" s="44"/>
      <c r="B12" s="95"/>
      <c r="C12" s="95"/>
      <c r="D12" s="107"/>
      <c r="E12" s="95"/>
      <c r="F12" s="95"/>
      <c r="G12" s="105">
        <v>1</v>
      </c>
      <c r="H12" s="95"/>
      <c r="I12" s="95"/>
      <c r="J12" s="95"/>
      <c r="K12" s="95"/>
      <c r="L12" s="112" t="s">
        <v>139</v>
      </c>
      <c r="M12" s="113"/>
      <c r="N12" s="112" t="s">
        <v>140</v>
      </c>
      <c r="O12" s="95"/>
      <c r="P12" s="95"/>
      <c r="Q12" s="95"/>
      <c r="R12" s="95"/>
      <c r="S12" s="95"/>
      <c r="T12" s="105">
        <v>1</v>
      </c>
      <c r="U12" s="97"/>
      <c r="V12" s="4"/>
    </row>
    <row r="13" spans="1:26" x14ac:dyDescent="0.2">
      <c r="A13" s="114" t="s">
        <v>102</v>
      </c>
      <c r="B13" s="115"/>
      <c r="C13" s="115"/>
      <c r="D13" s="116"/>
      <c r="E13" s="95"/>
      <c r="F13" s="95"/>
      <c r="G13" s="108"/>
      <c r="H13" s="95"/>
      <c r="I13" s="95"/>
      <c r="J13" s="95"/>
      <c r="K13" s="95"/>
      <c r="L13" s="95"/>
      <c r="M13" s="95"/>
      <c r="N13" s="95"/>
      <c r="O13" s="95"/>
      <c r="P13" s="95"/>
      <c r="Q13" s="95"/>
      <c r="R13" s="95"/>
      <c r="S13" s="95"/>
      <c r="T13" s="108"/>
      <c r="U13" s="97"/>
      <c r="V13" s="4"/>
    </row>
    <row r="14" spans="1:26" x14ac:dyDescent="0.2">
      <c r="A14" s="117" t="s">
        <v>104</v>
      </c>
      <c r="B14" s="118" t="s">
        <v>95</v>
      </c>
      <c r="C14" s="118" t="s">
        <v>113</v>
      </c>
      <c r="D14" s="119" t="s">
        <v>122</v>
      </c>
      <c r="E14" s="95"/>
      <c r="F14" s="95"/>
      <c r="G14" s="110" t="s">
        <v>23</v>
      </c>
      <c r="H14" s="95"/>
      <c r="I14" s="95"/>
      <c r="J14" s="95"/>
      <c r="K14" s="95"/>
      <c r="L14" s="95"/>
      <c r="M14" s="95"/>
      <c r="N14" s="95"/>
      <c r="O14" s="95"/>
      <c r="P14" s="95"/>
      <c r="Q14" s="95"/>
      <c r="R14" s="95"/>
      <c r="S14" s="95"/>
      <c r="T14" s="100" t="s">
        <v>23</v>
      </c>
      <c r="U14" s="97"/>
      <c r="V14" s="9"/>
    </row>
    <row r="15" spans="1:26" ht="16" customHeight="1" x14ac:dyDescent="0.25">
      <c r="A15" s="51" t="s">
        <v>31</v>
      </c>
      <c r="B15" s="120">
        <v>100</v>
      </c>
      <c r="C15" s="121">
        <v>1000</v>
      </c>
      <c r="D15" s="122" t="str">
        <f>TEXT(B15/C15, "0%") &amp; " of 100%"</f>
        <v>10% of 100%</v>
      </c>
      <c r="E15" s="95"/>
      <c r="F15" s="95"/>
      <c r="G15" s="112" t="s">
        <v>116</v>
      </c>
      <c r="H15" s="95"/>
      <c r="I15" s="123">
        <f>SUM(G8,G12,G24)</f>
        <v>32261</v>
      </c>
      <c r="J15" s="124"/>
      <c r="K15" s="95"/>
      <c r="L15" s="95"/>
      <c r="M15" s="95"/>
      <c r="N15" s="95"/>
      <c r="O15" s="95"/>
      <c r="P15" s="95"/>
      <c r="Q15" s="95"/>
      <c r="R15" s="125">
        <f>SUM(T8,T12,T24)</f>
        <v>1</v>
      </c>
      <c r="S15" s="95"/>
      <c r="T15" s="112" t="s">
        <v>116</v>
      </c>
      <c r="U15" s="97"/>
      <c r="V15" s="4"/>
    </row>
    <row r="16" spans="1:26" x14ac:dyDescent="0.2">
      <c r="A16" s="51" t="s">
        <v>107</v>
      </c>
      <c r="B16" s="126">
        <v>100</v>
      </c>
      <c r="C16" s="121">
        <v>1000</v>
      </c>
      <c r="D16" s="122" t="str">
        <f>TEXT(B16/C16, "0%") &amp; " of 100%"</f>
        <v>10% of 100%</v>
      </c>
      <c r="E16" s="95"/>
      <c r="F16" s="95"/>
      <c r="G16" s="127" t="s">
        <v>114</v>
      </c>
      <c r="H16" s="95"/>
      <c r="I16" s="95"/>
      <c r="J16" s="95"/>
      <c r="K16" s="95"/>
      <c r="L16" s="95"/>
      <c r="M16" s="95"/>
      <c r="N16" s="95"/>
      <c r="O16" s="95"/>
      <c r="P16" s="95"/>
      <c r="Q16" s="95"/>
      <c r="R16" s="95"/>
      <c r="S16" s="95"/>
      <c r="T16" s="127" t="s">
        <v>114</v>
      </c>
      <c r="U16" s="97"/>
      <c r="V16" s="4"/>
    </row>
    <row r="17" spans="1:22" ht="19" x14ac:dyDescent="0.25">
      <c r="A17" s="51" t="s">
        <v>106</v>
      </c>
      <c r="B17" s="126">
        <v>100</v>
      </c>
      <c r="C17" s="121">
        <v>1000</v>
      </c>
      <c r="D17" s="122" t="str">
        <f>TEXT(B17/C17, "0%") &amp; " of 100%"</f>
        <v>10% of 100%</v>
      </c>
      <c r="E17" s="95"/>
      <c r="F17" s="95"/>
      <c r="G17" s="108"/>
      <c r="H17" s="95"/>
      <c r="I17" s="128">
        <f>SUM(G29,G33,G37,G41,)</f>
        <v>202</v>
      </c>
      <c r="J17" s="129"/>
      <c r="K17" s="95"/>
      <c r="L17" s="95"/>
      <c r="M17" s="95"/>
      <c r="N17" s="95"/>
      <c r="O17" s="95"/>
      <c r="P17" s="95"/>
      <c r="Q17" s="95"/>
      <c r="R17" s="95"/>
      <c r="S17" s="130"/>
      <c r="T17" s="108"/>
      <c r="U17" s="97"/>
      <c r="V17" s="4"/>
    </row>
    <row r="18" spans="1:22" x14ac:dyDescent="0.2">
      <c r="A18" s="51" t="s">
        <v>108</v>
      </c>
      <c r="B18" s="131">
        <v>100</v>
      </c>
      <c r="C18" s="121">
        <v>1000</v>
      </c>
      <c r="D18" s="122" t="str">
        <f>TEXT(B18/C18, "0%") &amp; " of 100%"</f>
        <v>10% of 100%</v>
      </c>
      <c r="E18" s="95"/>
      <c r="F18" s="95"/>
      <c r="G18" s="110" t="s">
        <v>117</v>
      </c>
      <c r="H18" s="95"/>
      <c r="I18" s="95"/>
      <c r="J18" s="95"/>
      <c r="K18" s="95"/>
      <c r="L18" s="95" t="s">
        <v>26</v>
      </c>
      <c r="M18" s="95"/>
      <c r="N18" s="95"/>
      <c r="O18" s="95" t="s">
        <v>27</v>
      </c>
      <c r="P18" s="95"/>
      <c r="Q18" s="95"/>
      <c r="R18" s="95"/>
      <c r="S18" s="95"/>
      <c r="T18" s="100" t="s">
        <v>117</v>
      </c>
      <c r="U18" s="97"/>
      <c r="V18" s="7"/>
    </row>
    <row r="19" spans="1:22" x14ac:dyDescent="0.2">
      <c r="A19" s="114" t="s">
        <v>146</v>
      </c>
      <c r="B19" s="132">
        <f>SUM(B15:B18)</f>
        <v>400</v>
      </c>
      <c r="C19" s="95"/>
      <c r="D19" s="95"/>
      <c r="E19" s="95"/>
      <c r="F19" s="95"/>
      <c r="G19" s="112" t="s">
        <v>112</v>
      </c>
      <c r="H19" s="95"/>
      <c r="I19" s="95"/>
      <c r="J19" s="95"/>
      <c r="K19" s="95"/>
      <c r="L19" s="95"/>
      <c r="M19" s="133" t="s">
        <v>34</v>
      </c>
      <c r="N19" s="134"/>
      <c r="O19" s="95"/>
      <c r="P19" s="95"/>
      <c r="Q19" s="95"/>
      <c r="R19" s="95"/>
      <c r="S19" s="95"/>
      <c r="T19" s="112" t="s">
        <v>112</v>
      </c>
      <c r="U19" s="97"/>
      <c r="V19" s="4"/>
    </row>
    <row r="20" spans="1:22" x14ac:dyDescent="0.2">
      <c r="A20" s="44"/>
      <c r="B20" s="95"/>
      <c r="C20" s="95"/>
      <c r="D20" s="95"/>
      <c r="E20" s="95"/>
      <c r="F20" s="95"/>
      <c r="G20" s="105">
        <v>1</v>
      </c>
      <c r="H20" s="95"/>
      <c r="I20" s="95"/>
      <c r="J20" s="95"/>
      <c r="K20" s="95"/>
      <c r="L20" s="95"/>
      <c r="M20" s="95"/>
      <c r="N20" s="95"/>
      <c r="O20" s="95"/>
      <c r="P20" s="95"/>
      <c r="Q20" s="95"/>
      <c r="R20" s="95"/>
      <c r="S20" s="95"/>
      <c r="T20" s="105">
        <v>1</v>
      </c>
      <c r="U20" s="97"/>
      <c r="V20" s="10"/>
    </row>
    <row r="21" spans="1:22" x14ac:dyDescent="0.2">
      <c r="A21" s="44"/>
      <c r="B21" s="95"/>
      <c r="C21" s="95"/>
      <c r="D21" s="95"/>
      <c r="E21" s="95"/>
      <c r="F21" s="95"/>
      <c r="G21" s="108"/>
      <c r="H21" s="95"/>
      <c r="I21" s="95"/>
      <c r="J21" s="95"/>
      <c r="K21" s="95"/>
      <c r="L21" s="95"/>
      <c r="M21" s="95"/>
      <c r="N21" s="95"/>
      <c r="O21" s="95"/>
      <c r="P21" s="95"/>
      <c r="Q21" s="95"/>
      <c r="R21" s="95"/>
      <c r="S21" s="95"/>
      <c r="T21" s="108"/>
      <c r="U21" s="97"/>
    </row>
    <row r="22" spans="1:22" x14ac:dyDescent="0.2">
      <c r="A22" s="44"/>
      <c r="B22" s="95"/>
      <c r="C22" s="95"/>
      <c r="D22" s="95"/>
      <c r="E22" s="95"/>
      <c r="F22" s="95"/>
      <c r="G22" s="135" t="s">
        <v>111</v>
      </c>
      <c r="H22" s="95"/>
      <c r="I22" s="95"/>
      <c r="J22" s="95"/>
      <c r="K22" s="95"/>
      <c r="L22" s="95"/>
      <c r="M22" s="95"/>
      <c r="N22" s="95"/>
      <c r="O22" s="95"/>
      <c r="P22" s="95"/>
      <c r="Q22" s="95"/>
      <c r="R22" s="95"/>
      <c r="S22" s="95"/>
      <c r="T22" s="136" t="s">
        <v>111</v>
      </c>
      <c r="U22" s="97"/>
      <c r="V22" s="11"/>
    </row>
    <row r="23" spans="1:22" x14ac:dyDescent="0.2">
      <c r="A23" s="44"/>
      <c r="B23" s="95"/>
      <c r="C23" s="95"/>
      <c r="D23" s="95"/>
      <c r="E23" s="95"/>
      <c r="F23" s="95"/>
      <c r="G23" s="137" t="s">
        <v>118</v>
      </c>
      <c r="H23" s="95"/>
      <c r="I23" s="95"/>
      <c r="J23" s="95"/>
      <c r="K23" s="95"/>
      <c r="L23" s="95"/>
      <c r="M23" s="95"/>
      <c r="N23" s="95"/>
      <c r="O23" s="95"/>
      <c r="P23" s="95"/>
      <c r="Q23" s="95"/>
      <c r="R23" s="95"/>
      <c r="S23" s="95"/>
      <c r="T23" s="137" t="s">
        <v>118</v>
      </c>
      <c r="U23" s="97"/>
    </row>
    <row r="24" spans="1:22" x14ac:dyDescent="0.2">
      <c r="A24" s="44"/>
      <c r="B24" s="95"/>
      <c r="C24" s="95"/>
      <c r="D24" s="95"/>
      <c r="E24" s="138"/>
      <c r="F24" s="95"/>
      <c r="G24" s="139">
        <f>-'Financial Summary'!G34</f>
        <v>-67740</v>
      </c>
      <c r="H24" s="95"/>
      <c r="I24" s="95"/>
      <c r="J24" s="95"/>
      <c r="K24" s="95"/>
      <c r="L24" s="95"/>
      <c r="M24" s="95"/>
      <c r="N24" s="95"/>
      <c r="O24" s="95"/>
      <c r="P24" s="95"/>
      <c r="Q24" s="95"/>
      <c r="R24" s="95"/>
      <c r="S24" s="95"/>
      <c r="T24" s="140">
        <v>-1</v>
      </c>
      <c r="U24" s="97"/>
    </row>
    <row r="25" spans="1:22" x14ac:dyDescent="0.2">
      <c r="A25" s="44"/>
      <c r="B25" s="95"/>
      <c r="C25" s="95"/>
      <c r="D25" s="95"/>
      <c r="E25" s="95"/>
      <c r="F25" s="95"/>
      <c r="G25" s="95"/>
      <c r="H25" s="95"/>
      <c r="I25" s="95"/>
      <c r="J25" s="95"/>
      <c r="K25" s="95"/>
      <c r="L25" s="141" t="s">
        <v>127</v>
      </c>
      <c r="M25" s="142" t="s">
        <v>132</v>
      </c>
      <c r="N25" s="142" t="s">
        <v>123</v>
      </c>
      <c r="O25" s="143" t="s">
        <v>133</v>
      </c>
      <c r="P25" s="95"/>
      <c r="Q25" s="95"/>
      <c r="R25" s="95"/>
      <c r="S25" s="95"/>
      <c r="T25" s="95"/>
      <c r="U25" s="97"/>
      <c r="V25" s="12"/>
    </row>
    <row r="26" spans="1:22" x14ac:dyDescent="0.2">
      <c r="A26" s="44"/>
      <c r="B26" s="95"/>
      <c r="C26" s="95"/>
      <c r="D26" s="95"/>
      <c r="E26" s="95"/>
      <c r="F26" s="95"/>
      <c r="G26" s="95"/>
      <c r="H26" s="95"/>
      <c r="I26" s="95"/>
      <c r="J26" s="95"/>
      <c r="K26" s="95"/>
      <c r="L26" s="144" t="s">
        <v>131</v>
      </c>
      <c r="M26" s="108" t="s">
        <v>128</v>
      </c>
      <c r="N26" s="108" t="s">
        <v>129</v>
      </c>
      <c r="O26" s="145" t="s">
        <v>126</v>
      </c>
      <c r="P26" s="95"/>
      <c r="Q26" s="95"/>
      <c r="R26" s="95"/>
      <c r="S26" s="95"/>
      <c r="T26" s="95"/>
      <c r="U26" s="97"/>
      <c r="V26" s="4"/>
    </row>
    <row r="27" spans="1:22" x14ac:dyDescent="0.2">
      <c r="A27" s="44"/>
      <c r="B27" s="95"/>
      <c r="C27" s="95"/>
      <c r="D27" s="138"/>
      <c r="E27" s="95"/>
      <c r="F27" s="95"/>
      <c r="G27" s="146" t="s">
        <v>31</v>
      </c>
      <c r="H27" s="95"/>
      <c r="I27" s="95"/>
      <c r="J27" s="95"/>
      <c r="K27" s="95"/>
      <c r="L27" s="121">
        <v>-1</v>
      </c>
      <c r="M27" s="121">
        <v>-1</v>
      </c>
      <c r="N27" s="121">
        <v>-1</v>
      </c>
      <c r="O27" s="121">
        <v>-1</v>
      </c>
      <c r="P27" s="95"/>
      <c r="Q27" s="95"/>
      <c r="R27" s="95"/>
      <c r="S27" s="95"/>
      <c r="T27" s="147" t="s">
        <v>31</v>
      </c>
      <c r="U27" s="97"/>
      <c r="V27" s="13"/>
    </row>
    <row r="28" spans="1:22" x14ac:dyDescent="0.2">
      <c r="A28" s="44"/>
      <c r="B28" s="95"/>
      <c r="C28" s="95"/>
      <c r="D28" s="95"/>
      <c r="E28" s="95"/>
      <c r="F28" s="95"/>
      <c r="G28" s="148" t="s">
        <v>119</v>
      </c>
      <c r="H28" s="95"/>
      <c r="I28" s="95"/>
      <c r="J28" s="95"/>
      <c r="K28" s="95"/>
      <c r="L28" s="95"/>
      <c r="M28" s="108"/>
      <c r="N28" s="95"/>
      <c r="O28" s="95"/>
      <c r="P28" s="95"/>
      <c r="Q28" s="95"/>
      <c r="R28" s="95"/>
      <c r="S28" s="95"/>
      <c r="T28" s="148" t="s">
        <v>119</v>
      </c>
      <c r="U28" s="97"/>
      <c r="V28" s="4"/>
    </row>
    <row r="29" spans="1:22" x14ac:dyDescent="0.2">
      <c r="A29" s="44"/>
      <c r="B29" s="95"/>
      <c r="C29" s="95"/>
      <c r="D29" s="95"/>
      <c r="E29" s="95"/>
      <c r="F29" s="95"/>
      <c r="G29" s="149">
        <f>B15</f>
        <v>100</v>
      </c>
      <c r="H29" s="95"/>
      <c r="I29" s="95"/>
      <c r="J29" s="95"/>
      <c r="K29" s="150" t="s">
        <v>109</v>
      </c>
      <c r="L29" s="151"/>
      <c r="M29" s="151"/>
      <c r="N29" s="95"/>
      <c r="O29" s="95"/>
      <c r="P29" s="100" t="s">
        <v>134</v>
      </c>
      <c r="Q29" s="95"/>
      <c r="R29" s="95"/>
      <c r="S29" s="95"/>
      <c r="T29" s="149">
        <v>1</v>
      </c>
      <c r="U29" s="97"/>
      <c r="V29" s="12"/>
    </row>
    <row r="30" spans="1:22" x14ac:dyDescent="0.2">
      <c r="A30" s="44"/>
      <c r="B30" s="95"/>
      <c r="C30" s="95"/>
      <c r="D30" s="95"/>
      <c r="E30" s="95"/>
      <c r="F30" s="95"/>
      <c r="G30" s="108"/>
      <c r="H30" s="95"/>
      <c r="I30" s="95"/>
      <c r="J30" s="95"/>
      <c r="K30" s="112" t="s">
        <v>126</v>
      </c>
      <c r="L30" s="152"/>
      <c r="M30" s="153" t="s">
        <v>32</v>
      </c>
      <c r="N30" s="154" t="s">
        <v>32</v>
      </c>
      <c r="O30" s="155"/>
      <c r="P30" s="104" t="s">
        <v>135</v>
      </c>
      <c r="Q30" s="95"/>
      <c r="R30" s="95"/>
      <c r="S30" s="95"/>
      <c r="T30" s="108"/>
      <c r="U30" s="97"/>
      <c r="V30" s="4"/>
    </row>
    <row r="31" spans="1:22" x14ac:dyDescent="0.2">
      <c r="A31" s="44"/>
      <c r="B31" s="95"/>
      <c r="C31" s="95"/>
      <c r="D31" s="95"/>
      <c r="E31" s="95"/>
      <c r="F31" s="95"/>
      <c r="G31" s="146" t="s">
        <v>25</v>
      </c>
      <c r="H31" s="95"/>
      <c r="I31" s="95"/>
      <c r="J31" s="95"/>
      <c r="K31" s="156">
        <v>1</v>
      </c>
      <c r="L31" s="157"/>
      <c r="M31" s="158" t="s">
        <v>124</v>
      </c>
      <c r="N31" s="134" t="s">
        <v>124</v>
      </c>
      <c r="O31" s="159"/>
      <c r="P31" s="121">
        <v>-1</v>
      </c>
      <c r="Q31" s="95"/>
      <c r="R31" s="95"/>
      <c r="S31" s="95"/>
      <c r="T31" s="147" t="s">
        <v>25</v>
      </c>
      <c r="U31" s="97"/>
      <c r="V31" s="13"/>
    </row>
    <row r="32" spans="1:22" x14ac:dyDescent="0.2">
      <c r="A32" s="44"/>
      <c r="B32" s="95"/>
      <c r="C32" s="95"/>
      <c r="D32" s="95"/>
      <c r="E32" s="95"/>
      <c r="F32" s="95"/>
      <c r="G32" s="160" t="s">
        <v>119</v>
      </c>
      <c r="H32" s="95"/>
      <c r="I32" s="95"/>
      <c r="J32" s="95"/>
      <c r="K32" s="95"/>
      <c r="L32" s="95"/>
      <c r="M32" s="161">
        <v>1</v>
      </c>
      <c r="N32" s="352">
        <v>1</v>
      </c>
      <c r="O32" s="352"/>
      <c r="P32" s="95"/>
      <c r="Q32" s="95"/>
      <c r="R32" s="95"/>
      <c r="S32" s="95"/>
      <c r="T32" s="160" t="s">
        <v>120</v>
      </c>
      <c r="U32" s="97"/>
      <c r="V32" s="4"/>
    </row>
    <row r="33" spans="1:22" x14ac:dyDescent="0.2">
      <c r="A33" s="44"/>
      <c r="B33" s="95"/>
      <c r="C33" s="95"/>
      <c r="D33" s="95"/>
      <c r="E33" s="95"/>
      <c r="F33" s="95"/>
      <c r="G33" s="162">
        <f>B17</f>
        <v>100</v>
      </c>
      <c r="H33" s="95"/>
      <c r="I33" s="95"/>
      <c r="J33" s="95"/>
      <c r="K33" s="163" t="s">
        <v>107</v>
      </c>
      <c r="L33" s="164"/>
      <c r="M33" s="165" t="s">
        <v>33</v>
      </c>
      <c r="N33" s="166" t="s">
        <v>33</v>
      </c>
      <c r="O33" s="167"/>
      <c r="P33" s="100" t="s">
        <v>54</v>
      </c>
      <c r="Q33" s="95"/>
      <c r="R33" s="95"/>
      <c r="S33" s="95"/>
      <c r="T33" s="162">
        <v>1</v>
      </c>
      <c r="U33" s="97"/>
      <c r="V33" s="12"/>
    </row>
    <row r="34" spans="1:22" x14ac:dyDescent="0.2">
      <c r="A34" s="44"/>
      <c r="B34" s="95"/>
      <c r="C34" s="95"/>
      <c r="D34" s="95"/>
      <c r="E34" s="95"/>
      <c r="F34" s="95"/>
      <c r="G34" s="108"/>
      <c r="H34" s="95"/>
      <c r="I34" s="95"/>
      <c r="J34" s="95"/>
      <c r="K34" s="168" t="s">
        <v>126</v>
      </c>
      <c r="L34" s="95"/>
      <c r="M34" s="158" t="s">
        <v>130</v>
      </c>
      <c r="N34" s="133" t="s">
        <v>125</v>
      </c>
      <c r="O34" s="159"/>
      <c r="P34" s="104" t="s">
        <v>135</v>
      </c>
      <c r="Q34" s="95"/>
      <c r="R34" s="95"/>
      <c r="S34" s="95"/>
      <c r="T34" s="108"/>
      <c r="U34" s="97"/>
      <c r="V34" s="4"/>
    </row>
    <row r="35" spans="1:22" x14ac:dyDescent="0.2">
      <c r="A35" s="44"/>
      <c r="B35" s="95"/>
      <c r="C35" s="95"/>
      <c r="D35" s="108"/>
      <c r="E35" s="95"/>
      <c r="F35" s="95"/>
      <c r="G35" s="146" t="s">
        <v>24</v>
      </c>
      <c r="H35" s="95"/>
      <c r="I35" s="95"/>
      <c r="J35" s="95"/>
      <c r="K35" s="169">
        <v>1</v>
      </c>
      <c r="L35" s="95"/>
      <c r="M35" s="161">
        <v>1</v>
      </c>
      <c r="N35" s="352">
        <v>1</v>
      </c>
      <c r="O35" s="353"/>
      <c r="P35" s="121">
        <v>-1</v>
      </c>
      <c r="Q35" s="95"/>
      <c r="R35" s="95"/>
      <c r="S35" s="95"/>
      <c r="T35" s="147" t="s">
        <v>24</v>
      </c>
      <c r="U35" s="97"/>
      <c r="V35" s="13"/>
    </row>
    <row r="36" spans="1:22" x14ac:dyDescent="0.2">
      <c r="A36" s="44"/>
      <c r="B36" s="95"/>
      <c r="C36" s="95"/>
      <c r="D36" s="108"/>
      <c r="E36" s="95"/>
      <c r="F36" s="95"/>
      <c r="G36" s="160" t="s">
        <v>120</v>
      </c>
      <c r="H36" s="95"/>
      <c r="I36" s="95"/>
      <c r="J36" s="95"/>
      <c r="K36" s="95"/>
      <c r="L36" s="95"/>
      <c r="M36" s="138"/>
      <c r="N36" s="95"/>
      <c r="O36" s="95"/>
      <c r="P36" s="95"/>
      <c r="Q36" s="95"/>
      <c r="R36" s="95"/>
      <c r="S36" s="95"/>
      <c r="T36" s="160" t="s">
        <v>120</v>
      </c>
      <c r="U36" s="97"/>
    </row>
    <row r="37" spans="1:22" x14ac:dyDescent="0.2">
      <c r="A37" s="44"/>
      <c r="B37" s="95"/>
      <c r="C37" s="95"/>
      <c r="D37" s="170"/>
      <c r="E37" s="95"/>
      <c r="F37" s="95"/>
      <c r="G37" s="162">
        <v>1</v>
      </c>
      <c r="H37" s="95"/>
      <c r="I37" s="95"/>
      <c r="J37" s="95"/>
      <c r="K37" s="95"/>
      <c r="L37" s="95"/>
      <c r="M37" s="95"/>
      <c r="N37" s="95"/>
      <c r="O37" s="95"/>
      <c r="P37" s="95"/>
      <c r="Q37" s="95"/>
      <c r="R37" s="95"/>
      <c r="S37" s="95"/>
      <c r="T37" s="162">
        <v>1</v>
      </c>
      <c r="U37" s="97"/>
      <c r="V37" s="12"/>
    </row>
    <row r="38" spans="1:22" x14ac:dyDescent="0.2">
      <c r="A38" s="44"/>
      <c r="B38" s="95"/>
      <c r="C38" s="95"/>
      <c r="D38" s="95"/>
      <c r="E38" s="95"/>
      <c r="F38" s="95"/>
      <c r="G38" s="95"/>
      <c r="H38" s="95"/>
      <c r="I38" s="95"/>
      <c r="J38" s="95"/>
      <c r="K38" s="95"/>
      <c r="L38" s="138"/>
      <c r="M38" s="101" t="s">
        <v>143</v>
      </c>
      <c r="N38" s="100" t="s">
        <v>144</v>
      </c>
      <c r="O38" s="95"/>
      <c r="P38" s="95"/>
      <c r="Q38" s="95"/>
      <c r="R38" s="95"/>
      <c r="S38" s="95"/>
      <c r="T38" s="95"/>
      <c r="U38" s="97"/>
      <c r="V38" s="4"/>
    </row>
    <row r="39" spans="1:22" x14ac:dyDescent="0.2">
      <c r="A39" s="44"/>
      <c r="B39" s="95"/>
      <c r="C39" s="95"/>
      <c r="D39" s="108"/>
      <c r="E39" s="95"/>
      <c r="F39" s="95"/>
      <c r="G39" s="146" t="s">
        <v>121</v>
      </c>
      <c r="H39" s="95"/>
      <c r="I39" s="95"/>
      <c r="J39" s="95"/>
      <c r="K39" s="95"/>
      <c r="L39" s="95"/>
      <c r="M39" s="106">
        <v>-1</v>
      </c>
      <c r="N39" s="106">
        <v>-1</v>
      </c>
      <c r="O39" s="95"/>
      <c r="P39" s="95"/>
      <c r="Q39" s="95"/>
      <c r="R39" s="95"/>
      <c r="S39" s="95"/>
      <c r="T39" s="147" t="s">
        <v>121</v>
      </c>
      <c r="U39" s="97"/>
      <c r="V39" s="13"/>
    </row>
    <row r="40" spans="1:22" x14ac:dyDescent="0.2">
      <c r="A40" s="44"/>
      <c r="B40" s="95"/>
      <c r="C40" s="95"/>
      <c r="D40" s="108"/>
      <c r="E40" s="95"/>
      <c r="F40" s="95"/>
      <c r="G40" s="160" t="s">
        <v>116</v>
      </c>
      <c r="H40" s="95"/>
      <c r="I40" s="95"/>
      <c r="J40" s="95"/>
      <c r="K40" s="95"/>
      <c r="L40" s="95"/>
      <c r="M40" s="95"/>
      <c r="N40" s="95"/>
      <c r="O40" s="95"/>
      <c r="P40" s="95"/>
      <c r="Q40" s="95"/>
      <c r="R40" s="95"/>
      <c r="S40" s="95"/>
      <c r="T40" s="160" t="s">
        <v>116</v>
      </c>
      <c r="U40" s="97"/>
    </row>
    <row r="41" spans="1:22" x14ac:dyDescent="0.2">
      <c r="A41" s="44"/>
      <c r="B41" s="95"/>
      <c r="C41" s="95"/>
      <c r="D41" s="170"/>
      <c r="E41" s="95"/>
      <c r="F41" s="95"/>
      <c r="G41" s="162">
        <v>1</v>
      </c>
      <c r="H41" s="95"/>
      <c r="I41" s="95"/>
      <c r="J41" s="95"/>
      <c r="K41" s="95"/>
      <c r="L41" s="95"/>
      <c r="M41" s="95"/>
      <c r="N41" s="95"/>
      <c r="O41" s="95"/>
      <c r="P41" s="95"/>
      <c r="Q41" s="95"/>
      <c r="R41" s="95"/>
      <c r="S41" s="95"/>
      <c r="T41" s="162">
        <v>1</v>
      </c>
      <c r="U41" s="97"/>
    </row>
    <row r="42" spans="1:22" x14ac:dyDescent="0.2">
      <c r="A42" s="44"/>
      <c r="B42" s="95"/>
      <c r="C42" s="95"/>
      <c r="D42" s="95"/>
      <c r="E42" s="95"/>
      <c r="F42" s="95"/>
      <c r="G42" s="95"/>
      <c r="H42" s="95"/>
      <c r="I42" s="95"/>
      <c r="J42" s="95"/>
      <c r="K42" s="95"/>
      <c r="L42" s="95"/>
      <c r="M42" s="95"/>
      <c r="N42" s="95"/>
      <c r="O42" s="95"/>
      <c r="P42" s="108"/>
      <c r="Q42" s="95"/>
      <c r="R42" s="95"/>
      <c r="S42" s="95"/>
      <c r="T42" s="95"/>
      <c r="U42" s="97"/>
    </row>
    <row r="43" spans="1:22" ht="16" customHeight="1" x14ac:dyDescent="0.2">
      <c r="A43" s="44"/>
      <c r="B43" s="95"/>
      <c r="C43" s="95"/>
      <c r="D43" s="95"/>
      <c r="E43" s="95"/>
      <c r="F43" s="95"/>
      <c r="G43" s="170"/>
      <c r="H43" s="95"/>
      <c r="I43" s="95"/>
      <c r="J43" s="95"/>
      <c r="K43" s="343" t="s">
        <v>145</v>
      </c>
      <c r="L43" s="344"/>
      <c r="M43" s="344"/>
      <c r="N43" s="344"/>
      <c r="O43" s="344"/>
      <c r="P43" s="345"/>
      <c r="Q43" s="95"/>
      <c r="R43" s="95"/>
      <c r="S43" s="95"/>
      <c r="T43" s="95"/>
      <c r="U43" s="97"/>
    </row>
    <row r="44" spans="1:22" x14ac:dyDescent="0.2">
      <c r="A44" s="44"/>
      <c r="B44" s="95"/>
      <c r="C44" s="95"/>
      <c r="D44" s="95"/>
      <c r="E44" s="95"/>
      <c r="F44" s="95"/>
      <c r="G44" s="95"/>
      <c r="H44" s="95"/>
      <c r="I44" s="95"/>
      <c r="J44" s="95"/>
      <c r="K44" s="346"/>
      <c r="L44" s="347"/>
      <c r="M44" s="347"/>
      <c r="N44" s="347"/>
      <c r="O44" s="347"/>
      <c r="P44" s="348"/>
      <c r="Q44" s="95"/>
      <c r="R44" s="95"/>
      <c r="S44" s="95"/>
      <c r="T44" s="95"/>
      <c r="U44" s="97"/>
    </row>
    <row r="45" spans="1:22" x14ac:dyDescent="0.2">
      <c r="A45" s="44"/>
      <c r="B45" s="95"/>
      <c r="C45" s="95"/>
      <c r="D45" s="95"/>
      <c r="E45" s="95"/>
      <c r="F45" s="95"/>
      <c r="G45" s="95"/>
      <c r="H45" s="95"/>
      <c r="I45" s="95"/>
      <c r="J45" s="95"/>
      <c r="K45" s="346"/>
      <c r="L45" s="347"/>
      <c r="M45" s="347"/>
      <c r="N45" s="347"/>
      <c r="O45" s="347"/>
      <c r="P45" s="348"/>
      <c r="Q45" s="95"/>
      <c r="R45" s="95"/>
      <c r="S45" s="95"/>
      <c r="T45" s="95"/>
      <c r="U45" s="97"/>
    </row>
    <row r="46" spans="1:22" x14ac:dyDescent="0.2">
      <c r="A46" s="44"/>
      <c r="B46" s="95"/>
      <c r="C46" s="95"/>
      <c r="D46" s="95"/>
      <c r="E46" s="95"/>
      <c r="F46" s="95"/>
      <c r="G46" s="171"/>
      <c r="H46" s="95"/>
      <c r="I46" s="95"/>
      <c r="J46" s="95"/>
      <c r="K46" s="346"/>
      <c r="L46" s="347"/>
      <c r="M46" s="347"/>
      <c r="N46" s="347"/>
      <c r="O46" s="347"/>
      <c r="P46" s="348"/>
      <c r="Q46" s="95"/>
      <c r="R46" s="95"/>
      <c r="S46" s="95"/>
      <c r="T46" s="95"/>
      <c r="U46" s="97"/>
    </row>
    <row r="47" spans="1:22" x14ac:dyDescent="0.2">
      <c r="A47" s="44"/>
      <c r="B47" s="95"/>
      <c r="C47" s="95"/>
      <c r="D47" s="95"/>
      <c r="E47" s="95"/>
      <c r="F47" s="95"/>
      <c r="G47" s="95"/>
      <c r="H47" s="95"/>
      <c r="I47" s="95"/>
      <c r="J47" s="95"/>
      <c r="K47" s="346"/>
      <c r="L47" s="347"/>
      <c r="M47" s="347"/>
      <c r="N47" s="347"/>
      <c r="O47" s="347"/>
      <c r="P47" s="348"/>
      <c r="Q47" s="95"/>
      <c r="R47" s="95"/>
      <c r="S47" s="95"/>
      <c r="T47" s="95"/>
      <c r="U47" s="97"/>
    </row>
    <row r="48" spans="1:22" x14ac:dyDescent="0.2">
      <c r="A48" s="172"/>
      <c r="B48" s="113"/>
      <c r="C48" s="113"/>
      <c r="D48" s="113"/>
      <c r="E48" s="113"/>
      <c r="F48" s="113"/>
      <c r="G48" s="113"/>
      <c r="H48" s="113"/>
      <c r="I48" s="113"/>
      <c r="J48" s="173"/>
      <c r="K48" s="349"/>
      <c r="L48" s="350"/>
      <c r="M48" s="350"/>
      <c r="N48" s="350"/>
      <c r="O48" s="350"/>
      <c r="P48" s="351"/>
      <c r="Q48" s="172"/>
      <c r="R48" s="113"/>
      <c r="S48" s="113"/>
      <c r="T48" s="113"/>
      <c r="U48" s="173"/>
    </row>
    <row r="49" spans="1:1" x14ac:dyDescent="0.2">
      <c r="A49" s="17"/>
    </row>
  </sheetData>
  <sheetProtection algorithmName="SHA-512" hashValue="KAqjCeisxy3SLcoSymUm2tyvrVaKCwf7IxCJn8A9vRzrTRXcomLgGQ772JHHZq+22yqoMUiBOx0qWIF+9jbcVw==" saltValue="0nKBaRssw9SN4j7s6P4jZQ==" spinCount="100000" sheet="1" objects="1" scenarios="1"/>
  <mergeCells count="3">
    <mergeCell ref="K43:P48"/>
    <mergeCell ref="N32:O32"/>
    <mergeCell ref="N35:O35"/>
  </mergeCells>
  <pageMargins left="0.25" right="0.25" top="0.75" bottom="0.75" header="0.3" footer="0.3"/>
  <pageSetup scale="44" orientation="landscape"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DD007-829C-48CE-AE2A-2F38CC7FD32B}">
  <sheetPr>
    <pageSetUpPr fitToPage="1"/>
  </sheetPr>
  <dimension ref="A1:O78"/>
  <sheetViews>
    <sheetView zoomScale="63" zoomScaleNormal="100" workbookViewId="0">
      <selection activeCell="G52" sqref="G52"/>
    </sheetView>
  </sheetViews>
  <sheetFormatPr baseColWidth="10" defaultColWidth="8.83203125" defaultRowHeight="15" x14ac:dyDescent="0.2"/>
  <cols>
    <col min="1" max="1" width="21.83203125" style="2" customWidth="1"/>
    <col min="2" max="2" width="14.83203125" style="2" customWidth="1"/>
    <col min="3" max="3" width="11.33203125" style="2" customWidth="1"/>
    <col min="4" max="4" width="20.83203125" style="2" customWidth="1"/>
    <col min="5" max="5" width="16.83203125" style="2" customWidth="1"/>
    <col min="6" max="6" width="13.5" style="2" customWidth="1"/>
    <col min="7" max="7" width="19.33203125" style="2" customWidth="1"/>
    <col min="8" max="9" width="10.83203125" style="2" customWidth="1"/>
    <col min="10" max="10" width="11.33203125" style="2" customWidth="1"/>
    <col min="11" max="11" width="19.33203125" style="2" customWidth="1"/>
    <col min="12" max="12" width="9.33203125" style="2" bestFit="1" customWidth="1"/>
    <col min="13" max="14" width="10.83203125" style="2" customWidth="1"/>
    <col min="15" max="15" width="9.1640625" style="2" bestFit="1" customWidth="1"/>
    <col min="16" max="16" width="9" style="2" bestFit="1" customWidth="1"/>
    <col min="17" max="16384" width="8.83203125" style="2"/>
  </cols>
  <sheetData>
    <row r="1" spans="1:15" ht="22" x14ac:dyDescent="0.3">
      <c r="A1" s="354" t="s">
        <v>74</v>
      </c>
      <c r="B1" s="355"/>
      <c r="C1" s="355"/>
      <c r="D1" s="355"/>
      <c r="E1" s="355"/>
      <c r="F1" s="355"/>
      <c r="G1" s="355"/>
      <c r="H1" s="355"/>
      <c r="I1" s="355"/>
      <c r="J1" s="355"/>
      <c r="K1" s="355"/>
      <c r="L1" s="355"/>
      <c r="M1" s="355"/>
      <c r="N1" s="355"/>
      <c r="O1" s="356"/>
    </row>
    <row r="2" spans="1:15" ht="16" x14ac:dyDescent="0.2">
      <c r="A2" s="35"/>
      <c r="B2" s="36"/>
      <c r="C2" s="36"/>
      <c r="D2" s="36"/>
      <c r="E2" s="36"/>
      <c r="F2" s="36"/>
      <c r="G2" s="36"/>
      <c r="H2" s="36"/>
      <c r="I2" s="36"/>
      <c r="J2" s="36"/>
      <c r="K2" s="36"/>
      <c r="L2" s="36"/>
      <c r="M2" s="36"/>
      <c r="N2" s="36"/>
      <c r="O2" s="37"/>
    </row>
    <row r="3" spans="1:15" x14ac:dyDescent="0.2">
      <c r="A3" s="174"/>
      <c r="B3" s="175"/>
      <c r="C3" s="175"/>
      <c r="D3" s="175"/>
      <c r="E3" s="175"/>
      <c r="F3" s="175"/>
      <c r="G3" s="175"/>
      <c r="H3" s="175"/>
      <c r="I3" s="175"/>
      <c r="J3" s="175"/>
      <c r="K3" s="175"/>
      <c r="L3" s="175"/>
      <c r="M3" s="175"/>
      <c r="N3" s="175"/>
      <c r="O3" s="176"/>
    </row>
    <row r="4" spans="1:15" ht="19" x14ac:dyDescent="0.25">
      <c r="A4" s="177" t="s">
        <v>71</v>
      </c>
      <c r="B4" s="178"/>
      <c r="C4" s="179"/>
      <c r="D4" s="175"/>
      <c r="E4" s="175"/>
      <c r="F4" s="175"/>
      <c r="G4" s="175"/>
      <c r="H4" s="175"/>
      <c r="I4" s="175"/>
      <c r="J4" s="175"/>
      <c r="K4" s="175"/>
      <c r="L4" s="175"/>
      <c r="M4" s="175"/>
      <c r="N4" s="175"/>
      <c r="O4" s="176"/>
    </row>
    <row r="5" spans="1:15" x14ac:dyDescent="0.2">
      <c r="A5" s="180" t="s">
        <v>22</v>
      </c>
      <c r="B5" s="181">
        <v>100000</v>
      </c>
      <c r="C5" s="175"/>
      <c r="D5" s="175"/>
      <c r="E5" s="175"/>
      <c r="F5" s="175"/>
      <c r="G5" s="175"/>
      <c r="H5" s="175"/>
      <c r="I5" s="175"/>
      <c r="J5" s="175"/>
      <c r="K5" s="175"/>
      <c r="L5" s="175"/>
      <c r="M5" s="175"/>
      <c r="N5" s="175"/>
      <c r="O5" s="176"/>
    </row>
    <row r="6" spans="1:15" x14ac:dyDescent="0.2">
      <c r="A6" s="180" t="s">
        <v>37</v>
      </c>
      <c r="B6" s="181">
        <v>0</v>
      </c>
      <c r="C6" s="175"/>
      <c r="D6" s="175"/>
      <c r="E6" s="175"/>
      <c r="F6" s="175"/>
      <c r="G6" s="175"/>
      <c r="H6" s="175"/>
      <c r="I6" s="175"/>
      <c r="J6" s="175"/>
      <c r="K6" s="175"/>
      <c r="L6" s="175"/>
      <c r="M6" s="175"/>
      <c r="N6" s="175"/>
      <c r="O6" s="176"/>
    </row>
    <row r="7" spans="1:15" x14ac:dyDescent="0.2">
      <c r="A7" s="180" t="s">
        <v>40</v>
      </c>
      <c r="B7" s="181">
        <v>0</v>
      </c>
      <c r="C7" s="175"/>
      <c r="D7" s="175"/>
      <c r="E7" s="175"/>
      <c r="F7" s="175"/>
      <c r="G7" s="175"/>
      <c r="H7" s="175"/>
      <c r="I7" s="175"/>
      <c r="J7" s="175"/>
      <c r="K7" s="175"/>
      <c r="L7" s="175"/>
      <c r="M7" s="175"/>
      <c r="N7" s="175"/>
      <c r="O7" s="176"/>
    </row>
    <row r="8" spans="1:15" x14ac:dyDescent="0.2">
      <c r="A8" s="180" t="s">
        <v>41</v>
      </c>
      <c r="B8" s="181">
        <v>0</v>
      </c>
      <c r="C8" s="175"/>
      <c r="D8" s="175"/>
      <c r="E8" s="175"/>
      <c r="F8" s="175"/>
      <c r="G8" s="175"/>
      <c r="H8" s="175"/>
      <c r="I8" s="175"/>
      <c r="J8" s="175"/>
      <c r="K8" s="175"/>
      <c r="L8" s="175"/>
      <c r="M8" s="175"/>
      <c r="N8" s="175"/>
      <c r="O8" s="176"/>
    </row>
    <row r="9" spans="1:15" x14ac:dyDescent="0.2">
      <c r="A9" s="180" t="s">
        <v>39</v>
      </c>
      <c r="B9" s="181">
        <v>0</v>
      </c>
      <c r="C9" s="175"/>
      <c r="D9" s="175"/>
      <c r="E9" s="175"/>
      <c r="F9" s="175"/>
      <c r="G9" s="175"/>
      <c r="H9" s="175"/>
      <c r="I9" s="175"/>
      <c r="J9" s="175"/>
      <c r="K9" s="175"/>
      <c r="L9" s="175"/>
      <c r="M9" s="175"/>
      <c r="N9" s="175"/>
      <c r="O9" s="176"/>
    </row>
    <row r="10" spans="1:15" x14ac:dyDescent="0.2">
      <c r="A10" s="180" t="s">
        <v>23</v>
      </c>
      <c r="B10" s="181">
        <v>0</v>
      </c>
      <c r="C10" s="175"/>
      <c r="D10" s="175"/>
      <c r="E10" s="175"/>
      <c r="F10" s="175"/>
      <c r="G10" s="175"/>
      <c r="H10" s="175"/>
      <c r="I10" s="175"/>
      <c r="J10" s="175"/>
      <c r="K10" s="175"/>
      <c r="L10" s="175"/>
      <c r="M10" s="175"/>
      <c r="N10" s="175"/>
      <c r="O10" s="176"/>
    </row>
    <row r="11" spans="1:15" x14ac:dyDescent="0.2">
      <c r="A11" s="180" t="s">
        <v>42</v>
      </c>
      <c r="B11" s="181">
        <v>0</v>
      </c>
      <c r="C11" s="175"/>
      <c r="D11" s="175"/>
      <c r="E11" s="175"/>
      <c r="F11" s="175"/>
      <c r="G11" s="175"/>
      <c r="H11" s="175"/>
      <c r="I11" s="175"/>
      <c r="J11" s="175"/>
      <c r="K11" s="175"/>
      <c r="L11" s="175"/>
      <c r="M11" s="175"/>
      <c r="N11" s="175"/>
      <c r="O11" s="176"/>
    </row>
    <row r="12" spans="1:15" x14ac:dyDescent="0.2">
      <c r="A12" s="180" t="s">
        <v>43</v>
      </c>
      <c r="B12" s="181">
        <v>0</v>
      </c>
      <c r="C12" s="175"/>
      <c r="D12" s="175"/>
      <c r="E12" s="175"/>
      <c r="F12" s="175"/>
      <c r="G12" s="175"/>
      <c r="H12" s="175"/>
      <c r="I12" s="175"/>
      <c r="J12" s="175"/>
      <c r="K12" s="175"/>
      <c r="L12" s="175"/>
      <c r="M12" s="175"/>
      <c r="N12" s="175"/>
      <c r="O12" s="176"/>
    </row>
    <row r="13" spans="1:15" x14ac:dyDescent="0.2">
      <c r="A13" s="180" t="s">
        <v>44</v>
      </c>
      <c r="B13" s="181">
        <v>0</v>
      </c>
      <c r="C13" s="175"/>
      <c r="D13" s="175"/>
      <c r="E13" s="175"/>
      <c r="F13" s="175"/>
      <c r="G13" s="175"/>
      <c r="H13" s="175"/>
      <c r="I13" s="175"/>
      <c r="J13" s="175"/>
      <c r="K13" s="175"/>
      <c r="L13" s="175"/>
      <c r="M13" s="175"/>
      <c r="N13" s="175"/>
      <c r="O13" s="176"/>
    </row>
    <row r="14" spans="1:15" x14ac:dyDescent="0.2">
      <c r="A14" s="180" t="s">
        <v>38</v>
      </c>
      <c r="B14" s="181">
        <v>0</v>
      </c>
      <c r="C14" s="175"/>
      <c r="D14" s="175"/>
      <c r="E14" s="175"/>
      <c r="F14" s="175"/>
      <c r="G14" s="175"/>
      <c r="H14" s="175"/>
      <c r="I14" s="175"/>
      <c r="J14" s="175"/>
      <c r="K14" s="175"/>
      <c r="L14" s="175"/>
      <c r="M14" s="175"/>
      <c r="N14" s="175"/>
      <c r="O14" s="176"/>
    </row>
    <row r="15" spans="1:15" x14ac:dyDescent="0.2">
      <c r="A15" s="182" t="s">
        <v>72</v>
      </c>
      <c r="B15" s="183">
        <f>SUM(B5:B14)</f>
        <v>100000</v>
      </c>
      <c r="C15" s="175"/>
      <c r="D15" s="175"/>
      <c r="E15" s="175"/>
      <c r="F15" s="175"/>
      <c r="G15" s="175"/>
      <c r="H15" s="175"/>
      <c r="I15" s="175"/>
      <c r="J15" s="175"/>
      <c r="K15" s="175"/>
      <c r="L15" s="175"/>
      <c r="M15" s="175"/>
      <c r="N15" s="175"/>
      <c r="O15" s="176"/>
    </row>
    <row r="16" spans="1:15" x14ac:dyDescent="0.2">
      <c r="A16" s="184" t="s">
        <v>73</v>
      </c>
      <c r="B16" s="185">
        <f>B15*(1/12)</f>
        <v>8333.3333333333321</v>
      </c>
      <c r="C16" s="175"/>
      <c r="D16" s="175"/>
      <c r="E16" s="175"/>
      <c r="F16" s="175"/>
      <c r="G16" s="175"/>
      <c r="H16" s="175"/>
      <c r="I16" s="175"/>
      <c r="J16" s="175"/>
      <c r="K16" s="175"/>
      <c r="L16" s="175"/>
      <c r="M16" s="175"/>
      <c r="N16" s="175"/>
      <c r="O16" s="176"/>
    </row>
    <row r="17" spans="1:15" x14ac:dyDescent="0.2">
      <c r="A17" s="174"/>
      <c r="B17" s="175"/>
      <c r="C17" s="175"/>
      <c r="D17" s="175"/>
      <c r="E17" s="175"/>
      <c r="F17" s="175"/>
      <c r="G17" s="175"/>
      <c r="H17" s="175"/>
      <c r="I17" s="175"/>
      <c r="J17" s="175"/>
      <c r="K17" s="175"/>
      <c r="L17" s="175"/>
      <c r="M17" s="175"/>
      <c r="N17" s="175"/>
      <c r="O17" s="176"/>
    </row>
    <row r="18" spans="1:15" ht="22" x14ac:dyDescent="0.3">
      <c r="A18" s="357" t="s">
        <v>45</v>
      </c>
      <c r="B18" s="358"/>
      <c r="C18" s="358"/>
      <c r="D18" s="358"/>
      <c r="E18" s="358"/>
      <c r="F18" s="358"/>
      <c r="G18" s="358"/>
      <c r="H18" s="358"/>
      <c r="I18" s="358"/>
      <c r="J18" s="358"/>
      <c r="K18" s="358"/>
      <c r="L18" s="358"/>
      <c r="M18" s="358"/>
      <c r="N18" s="358"/>
      <c r="O18" s="359"/>
    </row>
    <row r="19" spans="1:15" ht="16" x14ac:dyDescent="0.2">
      <c r="A19" s="35"/>
      <c r="B19" s="36"/>
      <c r="C19" s="36"/>
      <c r="D19" s="36"/>
      <c r="E19" s="36"/>
      <c r="F19" s="36"/>
      <c r="G19" s="36"/>
      <c r="H19" s="36"/>
      <c r="I19" s="36"/>
      <c r="J19" s="36"/>
      <c r="K19" s="36"/>
      <c r="L19" s="36"/>
      <c r="M19" s="36"/>
      <c r="N19" s="36"/>
      <c r="O19" s="37"/>
    </row>
    <row r="20" spans="1:15" x14ac:dyDescent="0.2">
      <c r="A20" s="174"/>
      <c r="B20" s="175"/>
      <c r="C20" s="175"/>
      <c r="D20" s="175"/>
      <c r="E20" s="175"/>
      <c r="F20" s="175"/>
      <c r="G20" s="175"/>
      <c r="H20" s="175"/>
      <c r="I20" s="175"/>
      <c r="J20" s="175"/>
      <c r="K20" s="175"/>
      <c r="L20" s="175"/>
      <c r="M20" s="175"/>
      <c r="N20" s="175"/>
      <c r="O20" s="176"/>
    </row>
    <row r="21" spans="1:15" ht="16" x14ac:dyDescent="0.2">
      <c r="A21" s="186" t="s">
        <v>207</v>
      </c>
      <c r="B21" s="187" t="s">
        <v>229</v>
      </c>
      <c r="C21" s="188"/>
      <c r="D21" s="186" t="s">
        <v>59</v>
      </c>
      <c r="E21" s="187" t="s">
        <v>229</v>
      </c>
      <c r="F21" s="175"/>
      <c r="G21" s="189" t="s">
        <v>62</v>
      </c>
      <c r="H21" s="190" t="s">
        <v>69</v>
      </c>
      <c r="I21" s="187" t="s">
        <v>70</v>
      </c>
      <c r="J21" s="175"/>
      <c r="K21" s="189" t="s">
        <v>208</v>
      </c>
      <c r="L21" s="190"/>
      <c r="M21" s="190" t="s">
        <v>82</v>
      </c>
      <c r="N21" s="187" t="s">
        <v>50</v>
      </c>
      <c r="O21" s="176"/>
    </row>
    <row r="22" spans="1:15" ht="16" x14ac:dyDescent="0.2">
      <c r="A22" s="180" t="s">
        <v>46</v>
      </c>
      <c r="B22" s="181">
        <v>2500</v>
      </c>
      <c r="C22" s="175"/>
      <c r="D22" s="180" t="s">
        <v>60</v>
      </c>
      <c r="E22" s="181">
        <v>20</v>
      </c>
      <c r="F22" s="175"/>
      <c r="G22" s="180" t="s">
        <v>65</v>
      </c>
      <c r="H22" s="176">
        <v>500</v>
      </c>
      <c r="I22" s="181">
        <v>0</v>
      </c>
      <c r="J22" s="175"/>
      <c r="K22" s="180" t="s">
        <v>36</v>
      </c>
      <c r="L22" s="175"/>
      <c r="M22" s="176">
        <v>700</v>
      </c>
      <c r="N22" s="191">
        <v>800</v>
      </c>
      <c r="O22" s="176"/>
    </row>
    <row r="23" spans="1:15" ht="16" x14ac:dyDescent="0.2">
      <c r="A23" s="180" t="s">
        <v>57</v>
      </c>
      <c r="B23" s="181">
        <v>150</v>
      </c>
      <c r="C23" s="175"/>
      <c r="D23" s="180" t="s">
        <v>63</v>
      </c>
      <c r="E23" s="181">
        <v>20</v>
      </c>
      <c r="F23" s="175"/>
      <c r="G23" s="180" t="s">
        <v>214</v>
      </c>
      <c r="H23" s="176">
        <v>100</v>
      </c>
      <c r="I23" s="181">
        <v>0</v>
      </c>
      <c r="J23" s="175"/>
      <c r="K23" s="180" t="s">
        <v>215</v>
      </c>
      <c r="L23" s="175"/>
      <c r="M23" s="176">
        <v>300</v>
      </c>
      <c r="N23" s="191">
        <v>400</v>
      </c>
      <c r="O23" s="176"/>
    </row>
    <row r="24" spans="1:15" ht="16" x14ac:dyDescent="0.2">
      <c r="A24" s="180" t="s">
        <v>47</v>
      </c>
      <c r="B24" s="181">
        <v>100</v>
      </c>
      <c r="C24" s="175"/>
      <c r="D24" s="180" t="s">
        <v>61</v>
      </c>
      <c r="E24" s="181">
        <v>30</v>
      </c>
      <c r="F24" s="175"/>
      <c r="G24" s="180" t="s">
        <v>66</v>
      </c>
      <c r="H24" s="176">
        <v>300</v>
      </c>
      <c r="I24" s="181">
        <v>0</v>
      </c>
      <c r="J24" s="175"/>
      <c r="K24" s="180" t="s">
        <v>211</v>
      </c>
      <c r="L24" s="175"/>
      <c r="M24" s="176">
        <v>50</v>
      </c>
      <c r="N24" s="191">
        <v>100</v>
      </c>
      <c r="O24" s="176"/>
    </row>
    <row r="25" spans="1:15" ht="16" x14ac:dyDescent="0.2">
      <c r="A25" s="180" t="s">
        <v>48</v>
      </c>
      <c r="B25" s="181">
        <v>150</v>
      </c>
      <c r="C25" s="175"/>
      <c r="D25" s="180" t="s">
        <v>52</v>
      </c>
      <c r="E25" s="181">
        <v>0</v>
      </c>
      <c r="F25" s="175"/>
      <c r="G25" s="180" t="s">
        <v>67</v>
      </c>
      <c r="H25" s="176">
        <v>75</v>
      </c>
      <c r="I25" s="181">
        <v>0</v>
      </c>
      <c r="J25" s="175"/>
      <c r="K25" s="180" t="s">
        <v>210</v>
      </c>
      <c r="L25" s="175"/>
      <c r="M25" s="176">
        <v>0</v>
      </c>
      <c r="N25" s="191">
        <v>0</v>
      </c>
      <c r="O25" s="176"/>
    </row>
    <row r="26" spans="1:15" ht="16" x14ac:dyDescent="0.2">
      <c r="A26" s="180" t="s">
        <v>58</v>
      </c>
      <c r="B26" s="181">
        <v>50</v>
      </c>
      <c r="C26" s="175"/>
      <c r="D26" s="180" t="s">
        <v>29</v>
      </c>
      <c r="E26" s="181">
        <v>400</v>
      </c>
      <c r="F26" s="175"/>
      <c r="G26" s="180" t="s">
        <v>247</v>
      </c>
      <c r="H26" s="176">
        <v>0</v>
      </c>
      <c r="I26" s="181">
        <v>70</v>
      </c>
      <c r="J26" s="175"/>
      <c r="K26" s="180" t="s">
        <v>54</v>
      </c>
      <c r="L26" s="175"/>
      <c r="M26" s="176">
        <v>100</v>
      </c>
      <c r="N26" s="191">
        <v>200</v>
      </c>
      <c r="O26" s="176"/>
    </row>
    <row r="27" spans="1:15" ht="16" x14ac:dyDescent="0.2">
      <c r="A27" s="180" t="s">
        <v>228</v>
      </c>
      <c r="B27" s="181">
        <v>0</v>
      </c>
      <c r="C27" s="175"/>
      <c r="D27" s="180" t="s">
        <v>28</v>
      </c>
      <c r="E27" s="181">
        <v>30</v>
      </c>
      <c r="F27" s="175"/>
      <c r="G27" s="180" t="s">
        <v>247</v>
      </c>
      <c r="H27" s="176">
        <v>0</v>
      </c>
      <c r="I27" s="181">
        <v>0</v>
      </c>
      <c r="J27" s="175"/>
      <c r="K27" s="180" t="s">
        <v>218</v>
      </c>
      <c r="L27" s="175"/>
      <c r="M27" s="176">
        <v>0</v>
      </c>
      <c r="N27" s="191">
        <v>0</v>
      </c>
      <c r="O27" s="176"/>
    </row>
    <row r="28" spans="1:15" ht="16" x14ac:dyDescent="0.2">
      <c r="A28" s="180" t="s">
        <v>217</v>
      </c>
      <c r="B28" s="181">
        <v>0</v>
      </c>
      <c r="C28" s="175"/>
      <c r="D28" s="180" t="s">
        <v>51</v>
      </c>
      <c r="E28" s="181">
        <v>0</v>
      </c>
      <c r="F28" s="175"/>
      <c r="G28" s="192" t="s">
        <v>205</v>
      </c>
      <c r="H28" s="193"/>
      <c r="I28" s="194">
        <f>SUM(H22:I27)</f>
        <v>1045</v>
      </c>
      <c r="J28" s="175"/>
      <c r="K28" s="180" t="s">
        <v>78</v>
      </c>
      <c r="L28" s="175"/>
      <c r="M28" s="176">
        <v>0</v>
      </c>
      <c r="N28" s="191">
        <v>1000</v>
      </c>
      <c r="O28" s="176"/>
    </row>
    <row r="29" spans="1:15" ht="16" x14ac:dyDescent="0.2">
      <c r="A29" s="195" t="s">
        <v>216</v>
      </c>
      <c r="B29" s="196">
        <v>0</v>
      </c>
      <c r="C29" s="175"/>
      <c r="D29" s="180" t="s">
        <v>64</v>
      </c>
      <c r="E29" s="196">
        <v>0</v>
      </c>
      <c r="F29" s="175"/>
      <c r="G29" s="175"/>
      <c r="H29" s="175"/>
      <c r="I29" s="175"/>
      <c r="J29" s="175"/>
      <c r="K29" s="197" t="s">
        <v>205</v>
      </c>
      <c r="L29" s="198"/>
      <c r="M29" s="198">
        <f>SUM(M22:M28)</f>
        <v>1150</v>
      </c>
      <c r="N29" s="199">
        <f>SUM(M22:M28)</f>
        <v>1150</v>
      </c>
      <c r="O29" s="176"/>
    </row>
    <row r="30" spans="1:15" ht="16" x14ac:dyDescent="0.2">
      <c r="A30" s="184" t="s">
        <v>205</v>
      </c>
      <c r="B30" s="200">
        <f>SUM(B21:B28)</f>
        <v>2950</v>
      </c>
      <c r="C30" s="175"/>
      <c r="D30" s="197" t="s">
        <v>205</v>
      </c>
      <c r="E30" s="201">
        <f>SUM(E22:E29)</f>
        <v>500</v>
      </c>
      <c r="F30" s="175"/>
      <c r="G30" s="175"/>
      <c r="H30" s="175"/>
      <c r="I30" s="175"/>
      <c r="J30" s="175"/>
      <c r="K30" s="175"/>
      <c r="L30" s="175"/>
      <c r="M30" s="175"/>
      <c r="N30" s="175"/>
      <c r="O30" s="176"/>
    </row>
    <row r="31" spans="1:15" x14ac:dyDescent="0.2">
      <c r="A31" s="174"/>
      <c r="B31" s="175"/>
      <c r="C31" s="175"/>
      <c r="D31" s="175"/>
      <c r="E31" s="175"/>
      <c r="F31" s="175"/>
      <c r="G31" s="188"/>
      <c r="H31" s="175"/>
      <c r="I31" s="175"/>
      <c r="J31" s="175"/>
      <c r="K31" s="175"/>
      <c r="L31" s="175"/>
      <c r="M31" s="175"/>
      <c r="N31" s="175"/>
      <c r="O31" s="176"/>
    </row>
    <row r="32" spans="1:15" ht="19" x14ac:dyDescent="0.25">
      <c r="A32" s="177" t="s">
        <v>93</v>
      </c>
      <c r="B32" s="190" t="s">
        <v>94</v>
      </c>
      <c r="C32" s="187" t="s">
        <v>95</v>
      </c>
      <c r="D32" s="175"/>
      <c r="E32" s="175"/>
      <c r="F32" s="175"/>
      <c r="G32" s="175"/>
      <c r="H32" s="175"/>
      <c r="I32" s="175"/>
      <c r="J32" s="175"/>
      <c r="K32" s="372" t="s">
        <v>97</v>
      </c>
      <c r="L32" s="372"/>
      <c r="M32" s="175"/>
      <c r="N32" s="175"/>
      <c r="O32" s="176"/>
    </row>
    <row r="33" spans="1:15" ht="16" x14ac:dyDescent="0.2">
      <c r="A33" s="202" t="s">
        <v>96</v>
      </c>
      <c r="B33" s="203">
        <f>G33*6</f>
        <v>33870</v>
      </c>
      <c r="C33" s="204">
        <v>1500</v>
      </c>
      <c r="D33" s="175"/>
      <c r="E33" s="205" t="s">
        <v>75</v>
      </c>
      <c r="F33" s="206"/>
      <c r="G33" s="207">
        <f>SUM(B30,E30,I28,N29)</f>
        <v>5645</v>
      </c>
      <c r="H33" s="208">
        <v>0.3</v>
      </c>
      <c r="I33" s="209" t="s">
        <v>91</v>
      </c>
      <c r="J33" s="175"/>
      <c r="K33" s="175"/>
      <c r="L33" s="175"/>
      <c r="M33" s="175" t="s">
        <v>92</v>
      </c>
      <c r="N33" s="175"/>
      <c r="O33" s="176"/>
    </row>
    <row r="34" spans="1:15" ht="16" x14ac:dyDescent="0.2">
      <c r="A34" s="210" t="s">
        <v>105</v>
      </c>
      <c r="B34" s="211">
        <f>G35</f>
        <v>32260</v>
      </c>
      <c r="C34" s="204">
        <v>25000</v>
      </c>
      <c r="D34" s="175"/>
      <c r="E34" s="212" t="s">
        <v>76</v>
      </c>
      <c r="F34" s="213"/>
      <c r="G34" s="214">
        <f>G33*12</f>
        <v>67740</v>
      </c>
      <c r="H34" s="209"/>
      <c r="I34" s="175"/>
      <c r="J34" s="175"/>
      <c r="K34" s="175"/>
      <c r="L34" s="175"/>
      <c r="M34" s="175"/>
      <c r="N34" s="175"/>
      <c r="O34" s="215"/>
    </row>
    <row r="35" spans="1:15" ht="16" x14ac:dyDescent="0.2">
      <c r="A35" s="210" t="s">
        <v>31</v>
      </c>
      <c r="B35" s="211">
        <f>G35*(2/3)</f>
        <v>21506.666666666664</v>
      </c>
      <c r="C35" s="204">
        <v>8000</v>
      </c>
      <c r="D35" s="175"/>
      <c r="E35" s="216" t="s">
        <v>77</v>
      </c>
      <c r="F35" s="216"/>
      <c r="G35" s="217">
        <f>B15-G34</f>
        <v>32260</v>
      </c>
      <c r="H35" s="175"/>
      <c r="I35" s="209"/>
      <c r="J35" s="175"/>
      <c r="K35" s="175"/>
      <c r="L35" s="175"/>
      <c r="M35" s="175"/>
      <c r="N35" s="175"/>
      <c r="O35" s="215"/>
    </row>
    <row r="36" spans="1:15" ht="16" x14ac:dyDescent="0.2">
      <c r="A36" s="210" t="s">
        <v>103</v>
      </c>
      <c r="B36" s="211">
        <f>G35*(1/3)</f>
        <v>10753.333333333332</v>
      </c>
      <c r="C36" s="204">
        <v>2500</v>
      </c>
      <c r="D36" s="175"/>
      <c r="E36" s="175"/>
      <c r="F36" s="175"/>
      <c r="G36" s="175"/>
      <c r="H36" s="175"/>
      <c r="I36" s="175"/>
      <c r="J36" s="175"/>
      <c r="K36" s="218"/>
      <c r="L36" s="219" t="s">
        <v>85</v>
      </c>
      <c r="M36" s="219"/>
      <c r="N36" s="220"/>
      <c r="O36" s="176"/>
    </row>
    <row r="37" spans="1:15" ht="16" x14ac:dyDescent="0.2">
      <c r="A37" s="210" t="s">
        <v>68</v>
      </c>
      <c r="B37" s="211">
        <v>1</v>
      </c>
      <c r="C37" s="221">
        <v>200</v>
      </c>
      <c r="D37" s="175"/>
      <c r="E37" s="175"/>
      <c r="F37" s="175"/>
      <c r="G37" s="175"/>
      <c r="H37" s="222" t="s">
        <v>79</v>
      </c>
      <c r="I37" s="223"/>
      <c r="J37" s="188" t="s">
        <v>80</v>
      </c>
      <c r="K37" s="175"/>
      <c r="L37" s="188" t="s">
        <v>83</v>
      </c>
      <c r="M37" s="175"/>
      <c r="N37" s="188" t="s">
        <v>84</v>
      </c>
      <c r="O37" s="176"/>
    </row>
    <row r="38" spans="1:15" x14ac:dyDescent="0.2">
      <c r="A38" s="174"/>
      <c r="B38" s="175"/>
      <c r="C38" s="175"/>
      <c r="D38" s="175"/>
      <c r="E38" s="175"/>
      <c r="F38" s="175"/>
      <c r="G38" s="175"/>
      <c r="H38" s="175"/>
      <c r="I38" s="175"/>
      <c r="J38" s="175"/>
      <c r="K38" s="175"/>
      <c r="L38" s="175"/>
      <c r="M38" s="175"/>
      <c r="N38" s="188"/>
      <c r="O38" s="176"/>
    </row>
    <row r="39" spans="1:15" x14ac:dyDescent="0.2">
      <c r="A39" s="174"/>
      <c r="B39" s="175"/>
      <c r="C39" s="175"/>
      <c r="D39" s="175"/>
      <c r="E39" s="175"/>
      <c r="F39" s="175"/>
      <c r="G39" s="175"/>
      <c r="H39" s="175"/>
      <c r="I39" s="175"/>
      <c r="J39" s="175"/>
      <c r="K39" s="175"/>
      <c r="L39" s="175"/>
      <c r="M39" s="175"/>
      <c r="N39" s="188"/>
      <c r="O39" s="176"/>
    </row>
    <row r="40" spans="1:15" ht="16" x14ac:dyDescent="0.2">
      <c r="A40" s="360" t="s">
        <v>86</v>
      </c>
      <c r="B40" s="361"/>
      <c r="C40" s="361"/>
      <c r="D40" s="361"/>
      <c r="E40" s="361"/>
      <c r="F40" s="362"/>
      <c r="G40" s="175"/>
      <c r="H40" s="175"/>
      <c r="I40" s="175"/>
      <c r="J40" s="175"/>
      <c r="K40" s="175"/>
      <c r="L40" s="175"/>
      <c r="M40" s="175"/>
      <c r="N40" s="175"/>
      <c r="O40" s="176"/>
    </row>
    <row r="41" spans="1:15" x14ac:dyDescent="0.2">
      <c r="A41" s="174"/>
      <c r="B41" s="175"/>
      <c r="C41" s="175"/>
      <c r="D41" s="175"/>
      <c r="E41" s="175"/>
      <c r="F41" s="176"/>
      <c r="G41" s="175"/>
      <c r="H41" s="209" t="s">
        <v>55</v>
      </c>
      <c r="I41" s="209" t="s">
        <v>56</v>
      </c>
      <c r="J41" s="175" t="s">
        <v>55</v>
      </c>
      <c r="K41" s="175" t="s">
        <v>56</v>
      </c>
      <c r="L41" s="209" t="s">
        <v>55</v>
      </c>
      <c r="M41" s="175" t="s">
        <v>56</v>
      </c>
      <c r="N41" s="175" t="s">
        <v>55</v>
      </c>
      <c r="O41" s="176" t="s">
        <v>56</v>
      </c>
    </row>
    <row r="42" spans="1:15" ht="16" x14ac:dyDescent="0.2">
      <c r="A42" s="224" t="s">
        <v>81</v>
      </c>
      <c r="B42" s="175" t="s">
        <v>56</v>
      </c>
      <c r="C42" s="175" t="s">
        <v>88</v>
      </c>
      <c r="D42" s="225" t="s">
        <v>87</v>
      </c>
      <c r="E42" s="226" t="s">
        <v>56</v>
      </c>
      <c r="F42" s="176" t="s">
        <v>88</v>
      </c>
      <c r="G42" s="175"/>
      <c r="H42" s="227">
        <f>G35*(2/3)</f>
        <v>21506.666666666664</v>
      </c>
      <c r="I42" s="227">
        <f>H42/12</f>
        <v>1792.2222222222219</v>
      </c>
      <c r="J42" s="227">
        <f>G35*(1/3)</f>
        <v>10753.333333333332</v>
      </c>
      <c r="K42" s="227">
        <f>J42/12</f>
        <v>896.11111111111097</v>
      </c>
      <c r="L42" s="209">
        <f>B15*(7/10)</f>
        <v>70000</v>
      </c>
      <c r="M42" s="209">
        <f>L42/12</f>
        <v>5833.333333333333</v>
      </c>
      <c r="N42" s="227">
        <f>G34</f>
        <v>67740</v>
      </c>
      <c r="O42" s="228">
        <f>G33</f>
        <v>5645</v>
      </c>
    </row>
    <row r="43" spans="1:15" x14ac:dyDescent="0.2">
      <c r="A43" s="229" t="s">
        <v>89</v>
      </c>
      <c r="B43" s="230">
        <f>C43/12</f>
        <v>5833.333333333333</v>
      </c>
      <c r="C43" s="231">
        <f>B15*(0.7)</f>
        <v>70000</v>
      </c>
      <c r="D43" s="175" t="str">
        <f>"Fixed Expenses  " &amp; TEXT(G34 / B15, "(0%)")</f>
        <v>Fixed Expenses  (68%)</v>
      </c>
      <c r="E43" s="232">
        <f>G33</f>
        <v>5645</v>
      </c>
      <c r="F43" s="233">
        <f>G34</f>
        <v>67740</v>
      </c>
      <c r="G43" s="175"/>
      <c r="H43" s="175"/>
      <c r="I43" s="175"/>
      <c r="J43" s="175"/>
      <c r="K43" s="175"/>
      <c r="L43" s="175"/>
      <c r="M43" s="175"/>
      <c r="N43" s="175"/>
      <c r="O43" s="234"/>
    </row>
    <row r="44" spans="1:15" x14ac:dyDescent="0.2">
      <c r="A44" s="229" t="s">
        <v>90</v>
      </c>
      <c r="B44" s="230">
        <f>C44/12</f>
        <v>2500</v>
      </c>
      <c r="C44" s="231">
        <f>B15*0.3</f>
        <v>30000</v>
      </c>
      <c r="D44" s="175" t="str">
        <f>"Investments/Savings " &amp; TEXT(G35 / B15, "(0%)")</f>
        <v>Investments/Savings (32%)</v>
      </c>
      <c r="E44" s="232">
        <f>F44/12</f>
        <v>2688.3333333333335</v>
      </c>
      <c r="F44" s="233">
        <f>G35</f>
        <v>32260</v>
      </c>
      <c r="G44" s="175"/>
      <c r="H44" s="175"/>
      <c r="I44" s="175"/>
      <c r="J44" s="175"/>
      <c r="K44" s="175"/>
      <c r="L44" s="175"/>
      <c r="M44" s="175"/>
      <c r="N44" s="175"/>
      <c r="O44" s="176"/>
    </row>
    <row r="45" spans="1:15" x14ac:dyDescent="0.2">
      <c r="A45" s="174"/>
      <c r="B45" s="175"/>
      <c r="C45" s="175"/>
      <c r="D45" s="175"/>
      <c r="E45" s="175"/>
      <c r="F45" s="176"/>
      <c r="G45" s="175"/>
      <c r="H45" s="175"/>
      <c r="I45" s="175"/>
      <c r="J45" s="175"/>
      <c r="K45" s="175"/>
      <c r="L45" s="175"/>
      <c r="M45" s="175"/>
      <c r="N45" s="175"/>
      <c r="O45" s="176"/>
    </row>
    <row r="46" spans="1:15" ht="16" customHeight="1" x14ac:dyDescent="0.2">
      <c r="A46" s="174"/>
      <c r="B46" s="175"/>
      <c r="C46" s="175"/>
      <c r="D46" s="175"/>
      <c r="E46" s="175"/>
      <c r="F46" s="176"/>
      <c r="G46" s="175"/>
      <c r="H46" s="363" t="str">
        <f>"Notes:" &amp; CHAR(10) &amp; CHAR(10) &amp;
"Start by inputting your monthly fixed expenses before any hypothetical earnings allocation. The purpose of this step is to establish a comfortable, baseline standard of living. " &amp;
"What you insert in those expense categories should not compromise or go below the means of your current level of welfare. So be REALISTIC! The benchmark is here to be transparent, which allows you to live peacefully stress-free." &amp;
CHAR(10) &amp; CHAR(10) &amp;
"We also need to build an Emergency Fund to protect ourselves against financial instability. It’s not a question of *if* it will happen, but *when*. " &amp;
"That’s why the first use of any leftover income should be to fund a full 6-month emergency fund. This gives you ample time to recover in the event of job loss or other setbacks. " &amp;
"Do not forget that prioritizing safety and stability is more paramount and should come before any investments or savings." &amp;
CHAR(10) &amp; CHAR(10) &amp;
"Once that is done, now we can proceed with the earnings allocation. Currently, I have no bills to pay, so I built this model to reflect a scenario where I live independently without receiving financial support from my family." &amp;
CHAR(10) &amp; CHAR(10) &amp;
"In my model, ~70% of my income is allocated to anticipated living costs, including rent, utilities, transportation, and daily essentials – leaving the remaining 30% for investments and savings. " &amp;
"The actual numbers are closer to 68/32 in comparison, however, while the 2% difference might seem minor, it is treated as a flexible buffer for unexpected spendings. " &amp;
"Personally, the 68/32 model is more practical since my financial goals are to maximize my investments and savings, so that 2% will be allocated there rather than discretionary spending." &amp;
CHAR(10) &amp; CHAR(10) &amp;
"Everyone’s financial circumstances and narratives are different, whether you’re aiming to hit a benchmark percentage, or simply making the commitment to direct just that extra 2% towards your financial goals, this model can be tailored to fit your needs." &amp;
CHAR(10) &amp; CHAR(10) &amp;
"At the end of the day, this framework is here to help you stay accountable, track your actual allocations, remain aware of where your money is going, and be mindful of how close you are to your short-term financial goals." &amp;
CHAR(10) &amp; CHAR(10) &amp;
"Remember: the best financial model is the one that is realistic and the one you’ll actually stick with."</f>
        <v>Notes:
Start by inputting your monthly fixed expenses before any hypothetical earnings allocation. The purpose of this step is to establish a comfortable, baseline standard of living. What you insert in those expense categories should not compromise or go below the means of your current level of welfare. So be REALISTIC! The benchmark is here to be transparent, which allows you to live peacefully stress-free.
We also need to build an Emergency Fund to protect ourselves against financial instability. It’s not a question of *if* it will happen, but *when*. That’s why the first use of any leftover income should be to fund a full 6-month emergency fund. This gives you ample time to recover in the event of job loss or other setbacks. Do not forget that prioritizing safety and stability is more paramount and should come before any investments or savings.
Once that is done, now we can proceed with the earnings allocation. Currently, I have no bills to pay, so I built this model to reflect a scenario where I live independently without receiving financial support from my family.
In my model, ~70% of my income is allocated to anticipated living costs, including rent, utilities, transportation, and daily essentials – leaving the remaining 30% for investments and savings. The actual numbers are closer to 68/32 in comparison, however, while the 2% difference might seem minor, it is treated as a flexible buffer for unexpected spendings. Personally, the 68/32 model is more practical since my financial goals are to maximize my investments and savings, so that 2% will be allocated there rather than discretionary spending.
Everyone’s financial circumstances and narratives are different, whether you’re aiming to hit a benchmark percentage, or simply making the commitment to direct just that extra 2% towards your financial goals, this model can be tailored to fit your needs.
At the end of the day, this framework is here to help you stay accountable, track your actual allocations, remain aware of where your money is going, and be mindful of how close you are to your short-term financial goals.
Remember: the best financial model is the one that is realistic and the one you’ll actually stick with.</v>
      </c>
      <c r="I46" s="364"/>
      <c r="J46" s="364"/>
      <c r="K46" s="364"/>
      <c r="L46" s="364"/>
      <c r="M46" s="364"/>
      <c r="N46" s="364"/>
      <c r="O46" s="365"/>
    </row>
    <row r="47" spans="1:15" x14ac:dyDescent="0.2">
      <c r="A47" s="174"/>
      <c r="B47" s="175"/>
      <c r="C47" s="175"/>
      <c r="D47" s="175"/>
      <c r="E47" s="175"/>
      <c r="F47" s="176"/>
      <c r="G47" s="175"/>
      <c r="H47" s="366"/>
      <c r="I47" s="367"/>
      <c r="J47" s="367"/>
      <c r="K47" s="367"/>
      <c r="L47" s="367"/>
      <c r="M47" s="367"/>
      <c r="N47" s="367"/>
      <c r="O47" s="368"/>
    </row>
    <row r="48" spans="1:15" x14ac:dyDescent="0.2">
      <c r="A48" s="174"/>
      <c r="B48" s="175"/>
      <c r="C48" s="175"/>
      <c r="D48" s="175"/>
      <c r="E48" s="175"/>
      <c r="F48" s="176"/>
      <c r="G48" s="175"/>
      <c r="H48" s="366"/>
      <c r="I48" s="367"/>
      <c r="J48" s="367"/>
      <c r="K48" s="367"/>
      <c r="L48" s="367"/>
      <c r="M48" s="367"/>
      <c r="N48" s="367"/>
      <c r="O48" s="368"/>
    </row>
    <row r="49" spans="1:15" x14ac:dyDescent="0.2">
      <c r="A49" s="174"/>
      <c r="B49" s="175"/>
      <c r="C49" s="175"/>
      <c r="D49" s="175"/>
      <c r="E49" s="175"/>
      <c r="F49" s="176"/>
      <c r="G49" s="175"/>
      <c r="H49" s="366"/>
      <c r="I49" s="367"/>
      <c r="J49" s="367"/>
      <c r="K49" s="367"/>
      <c r="L49" s="367"/>
      <c r="M49" s="367"/>
      <c r="N49" s="367"/>
      <c r="O49" s="368"/>
    </row>
    <row r="50" spans="1:15" x14ac:dyDescent="0.2">
      <c r="A50" s="174"/>
      <c r="B50" s="175"/>
      <c r="C50" s="175"/>
      <c r="D50" s="175"/>
      <c r="E50" s="175"/>
      <c r="F50" s="176"/>
      <c r="G50" s="175"/>
      <c r="H50" s="366"/>
      <c r="I50" s="367"/>
      <c r="J50" s="367"/>
      <c r="K50" s="367"/>
      <c r="L50" s="367"/>
      <c r="M50" s="367"/>
      <c r="N50" s="367"/>
      <c r="O50" s="368"/>
    </row>
    <row r="51" spans="1:15" x14ac:dyDescent="0.2">
      <c r="A51" s="174"/>
      <c r="B51" s="175"/>
      <c r="C51" s="175"/>
      <c r="D51" s="175"/>
      <c r="E51" s="175"/>
      <c r="F51" s="176"/>
      <c r="G51" s="175"/>
      <c r="H51" s="366"/>
      <c r="I51" s="367"/>
      <c r="J51" s="367"/>
      <c r="K51" s="367"/>
      <c r="L51" s="367"/>
      <c r="M51" s="367"/>
      <c r="N51" s="367"/>
      <c r="O51" s="368"/>
    </row>
    <row r="52" spans="1:15" x14ac:dyDescent="0.2">
      <c r="A52" s="174"/>
      <c r="B52" s="175"/>
      <c r="C52" s="175"/>
      <c r="D52" s="175"/>
      <c r="E52" s="175"/>
      <c r="F52" s="176"/>
      <c r="G52" s="175"/>
      <c r="H52" s="366"/>
      <c r="I52" s="367"/>
      <c r="J52" s="367"/>
      <c r="K52" s="367"/>
      <c r="L52" s="367"/>
      <c r="M52" s="367"/>
      <c r="N52" s="367"/>
      <c r="O52" s="368"/>
    </row>
    <row r="53" spans="1:15" x14ac:dyDescent="0.2">
      <c r="A53" s="174"/>
      <c r="B53" s="175"/>
      <c r="C53" s="175"/>
      <c r="D53" s="175"/>
      <c r="E53" s="175"/>
      <c r="F53" s="176"/>
      <c r="G53" s="175"/>
      <c r="H53" s="366"/>
      <c r="I53" s="367"/>
      <c r="J53" s="367"/>
      <c r="K53" s="367"/>
      <c r="L53" s="367"/>
      <c r="M53" s="367"/>
      <c r="N53" s="367"/>
      <c r="O53" s="368"/>
    </row>
    <row r="54" spans="1:15" x14ac:dyDescent="0.2">
      <c r="A54" s="174"/>
      <c r="B54" s="175"/>
      <c r="C54" s="175"/>
      <c r="D54" s="175"/>
      <c r="E54" s="175"/>
      <c r="F54" s="176"/>
      <c r="G54" s="175"/>
      <c r="H54" s="366"/>
      <c r="I54" s="367"/>
      <c r="J54" s="367"/>
      <c r="K54" s="367"/>
      <c r="L54" s="367"/>
      <c r="M54" s="367"/>
      <c r="N54" s="367"/>
      <c r="O54" s="368"/>
    </row>
    <row r="55" spans="1:15" x14ac:dyDescent="0.2">
      <c r="A55" s="174"/>
      <c r="B55" s="175"/>
      <c r="C55" s="175"/>
      <c r="D55" s="175"/>
      <c r="E55" s="175"/>
      <c r="F55" s="176"/>
      <c r="G55" s="175"/>
      <c r="H55" s="366"/>
      <c r="I55" s="367"/>
      <c r="J55" s="367"/>
      <c r="K55" s="367"/>
      <c r="L55" s="367"/>
      <c r="M55" s="367"/>
      <c r="N55" s="367"/>
      <c r="O55" s="368"/>
    </row>
    <row r="56" spans="1:15" x14ac:dyDescent="0.2">
      <c r="A56" s="174"/>
      <c r="B56" s="175"/>
      <c r="C56" s="175"/>
      <c r="D56" s="175"/>
      <c r="E56" s="175"/>
      <c r="F56" s="176"/>
      <c r="G56" s="175"/>
      <c r="H56" s="366"/>
      <c r="I56" s="367"/>
      <c r="J56" s="367"/>
      <c r="K56" s="367"/>
      <c r="L56" s="367"/>
      <c r="M56" s="367"/>
      <c r="N56" s="367"/>
      <c r="O56" s="368"/>
    </row>
    <row r="57" spans="1:15" x14ac:dyDescent="0.2">
      <c r="A57" s="174"/>
      <c r="B57" s="175"/>
      <c r="C57" s="175"/>
      <c r="D57" s="175"/>
      <c r="E57" s="175"/>
      <c r="F57" s="176"/>
      <c r="G57" s="175"/>
      <c r="H57" s="366"/>
      <c r="I57" s="367"/>
      <c r="J57" s="367"/>
      <c r="K57" s="367"/>
      <c r="L57" s="367"/>
      <c r="M57" s="367"/>
      <c r="N57" s="367"/>
      <c r="O57" s="368"/>
    </row>
    <row r="58" spans="1:15" x14ac:dyDescent="0.2">
      <c r="A58" s="174"/>
      <c r="B58" s="175"/>
      <c r="C58" s="175"/>
      <c r="D58" s="175"/>
      <c r="E58" s="175"/>
      <c r="F58" s="176"/>
      <c r="G58" s="175"/>
      <c r="H58" s="366"/>
      <c r="I58" s="367"/>
      <c r="J58" s="367"/>
      <c r="K58" s="367"/>
      <c r="L58" s="367"/>
      <c r="M58" s="367"/>
      <c r="N58" s="367"/>
      <c r="O58" s="368"/>
    </row>
    <row r="59" spans="1:15" ht="17" customHeight="1" x14ac:dyDescent="0.2">
      <c r="A59" s="174"/>
      <c r="B59" s="175"/>
      <c r="C59" s="175"/>
      <c r="D59" s="175"/>
      <c r="E59" s="175"/>
      <c r="F59" s="176"/>
      <c r="G59" s="175"/>
      <c r="H59" s="366"/>
      <c r="I59" s="367"/>
      <c r="J59" s="367"/>
      <c r="K59" s="367"/>
      <c r="L59" s="367"/>
      <c r="M59" s="367"/>
      <c r="N59" s="367"/>
      <c r="O59" s="368"/>
    </row>
    <row r="60" spans="1:15" ht="17" customHeight="1" x14ac:dyDescent="0.2">
      <c r="A60" s="174"/>
      <c r="B60" s="175"/>
      <c r="C60" s="175"/>
      <c r="D60" s="175"/>
      <c r="E60" s="175"/>
      <c r="F60" s="176"/>
      <c r="G60" s="175"/>
      <c r="H60" s="366"/>
      <c r="I60" s="367"/>
      <c r="J60" s="367"/>
      <c r="K60" s="367"/>
      <c r="L60" s="367"/>
      <c r="M60" s="367"/>
      <c r="N60" s="367"/>
      <c r="O60" s="368"/>
    </row>
    <row r="61" spans="1:15" x14ac:dyDescent="0.2">
      <c r="A61" s="235"/>
      <c r="B61" s="236"/>
      <c r="C61" s="236"/>
      <c r="D61" s="236"/>
      <c r="E61" s="236"/>
      <c r="F61" s="237"/>
      <c r="G61" s="175"/>
      <c r="H61" s="366"/>
      <c r="I61" s="367"/>
      <c r="J61" s="367"/>
      <c r="K61" s="367"/>
      <c r="L61" s="367"/>
      <c r="M61" s="367"/>
      <c r="N61" s="367"/>
      <c r="O61" s="368"/>
    </row>
    <row r="62" spans="1:15" x14ac:dyDescent="0.2">
      <c r="A62" s="174"/>
      <c r="B62" s="175"/>
      <c r="C62" s="175"/>
      <c r="D62" s="175"/>
      <c r="E62" s="175"/>
      <c r="F62" s="175"/>
      <c r="G62" s="175"/>
      <c r="H62" s="366"/>
      <c r="I62" s="367"/>
      <c r="J62" s="367"/>
      <c r="K62" s="367"/>
      <c r="L62" s="367"/>
      <c r="M62" s="367"/>
      <c r="N62" s="367"/>
      <c r="O62" s="368"/>
    </row>
    <row r="63" spans="1:15" x14ac:dyDescent="0.2">
      <c r="A63" s="238"/>
      <c r="B63" s="175"/>
      <c r="C63" s="175"/>
      <c r="D63" s="175"/>
      <c r="E63" s="175"/>
      <c r="F63" s="175"/>
      <c r="G63" s="175"/>
      <c r="H63" s="366"/>
      <c r="I63" s="367"/>
      <c r="J63" s="367"/>
      <c r="K63" s="367"/>
      <c r="L63" s="367"/>
      <c r="M63" s="367"/>
      <c r="N63" s="367"/>
      <c r="O63" s="368"/>
    </row>
    <row r="64" spans="1:15" x14ac:dyDescent="0.2">
      <c r="A64" s="174"/>
      <c r="B64" s="175"/>
      <c r="C64" s="175"/>
      <c r="D64" s="175"/>
      <c r="E64" s="175"/>
      <c r="F64" s="175"/>
      <c r="G64" s="175"/>
      <c r="H64" s="366"/>
      <c r="I64" s="367"/>
      <c r="J64" s="367"/>
      <c r="K64" s="367"/>
      <c r="L64" s="367"/>
      <c r="M64" s="367"/>
      <c r="N64" s="367"/>
      <c r="O64" s="368"/>
    </row>
    <row r="65" spans="1:15" x14ac:dyDescent="0.2">
      <c r="A65" s="174"/>
      <c r="B65" s="175"/>
      <c r="C65" s="175"/>
      <c r="D65" s="175"/>
      <c r="E65" s="175"/>
      <c r="F65" s="175"/>
      <c r="G65" s="175"/>
      <c r="H65" s="366"/>
      <c r="I65" s="367"/>
      <c r="J65" s="367"/>
      <c r="K65" s="367"/>
      <c r="L65" s="367"/>
      <c r="M65" s="367"/>
      <c r="N65" s="367"/>
      <c r="O65" s="368"/>
    </row>
    <row r="66" spans="1:15" x14ac:dyDescent="0.2">
      <c r="A66" s="174"/>
      <c r="B66" s="175"/>
      <c r="C66" s="175"/>
      <c r="D66" s="175"/>
      <c r="E66" s="175"/>
      <c r="F66" s="175"/>
      <c r="G66" s="175"/>
      <c r="H66" s="366"/>
      <c r="I66" s="367"/>
      <c r="J66" s="367"/>
      <c r="K66" s="367"/>
      <c r="L66" s="367"/>
      <c r="M66" s="367"/>
      <c r="N66" s="367"/>
      <c r="O66" s="368"/>
    </row>
    <row r="67" spans="1:15" x14ac:dyDescent="0.2">
      <c r="A67" s="174"/>
      <c r="B67" s="175"/>
      <c r="C67" s="175"/>
      <c r="D67" s="175"/>
      <c r="E67" s="175"/>
      <c r="F67" s="175"/>
      <c r="G67" s="175"/>
      <c r="H67" s="366"/>
      <c r="I67" s="367"/>
      <c r="J67" s="367"/>
      <c r="K67" s="367"/>
      <c r="L67" s="367"/>
      <c r="M67" s="367"/>
      <c r="N67" s="367"/>
      <c r="O67" s="368"/>
    </row>
    <row r="68" spans="1:15" x14ac:dyDescent="0.2">
      <c r="A68" s="174"/>
      <c r="B68" s="175"/>
      <c r="C68" s="175"/>
      <c r="D68" s="175"/>
      <c r="E68" s="175"/>
      <c r="F68" s="175"/>
      <c r="G68" s="175"/>
      <c r="H68" s="366"/>
      <c r="I68" s="367"/>
      <c r="J68" s="367"/>
      <c r="K68" s="367"/>
      <c r="L68" s="367"/>
      <c r="M68" s="367"/>
      <c r="N68" s="367"/>
      <c r="O68" s="368"/>
    </row>
    <row r="69" spans="1:15" x14ac:dyDescent="0.2">
      <c r="A69" s="174"/>
      <c r="B69" s="175"/>
      <c r="C69" s="175"/>
      <c r="D69" s="175"/>
      <c r="E69" s="175"/>
      <c r="F69" s="175"/>
      <c r="G69" s="175"/>
      <c r="H69" s="366"/>
      <c r="I69" s="367"/>
      <c r="J69" s="367"/>
      <c r="K69" s="367"/>
      <c r="L69" s="367"/>
      <c r="M69" s="367"/>
      <c r="N69" s="367"/>
      <c r="O69" s="368"/>
    </row>
    <row r="70" spans="1:15" x14ac:dyDescent="0.2">
      <c r="A70" s="174"/>
      <c r="B70" s="175"/>
      <c r="C70" s="175"/>
      <c r="D70" s="175"/>
      <c r="E70" s="175"/>
      <c r="F70" s="175"/>
      <c r="G70" s="175"/>
      <c r="H70" s="366"/>
      <c r="I70" s="367"/>
      <c r="J70" s="367"/>
      <c r="K70" s="367"/>
      <c r="L70" s="367"/>
      <c r="M70" s="367"/>
      <c r="N70" s="367"/>
      <c r="O70" s="368"/>
    </row>
    <row r="71" spans="1:15" x14ac:dyDescent="0.2">
      <c r="A71" s="174"/>
      <c r="B71" s="175"/>
      <c r="C71" s="175"/>
      <c r="D71" s="175"/>
      <c r="E71" s="175"/>
      <c r="F71" s="175"/>
      <c r="G71" s="175"/>
      <c r="H71" s="366"/>
      <c r="I71" s="367"/>
      <c r="J71" s="367"/>
      <c r="K71" s="367"/>
      <c r="L71" s="367"/>
      <c r="M71" s="367"/>
      <c r="N71" s="367"/>
      <c r="O71" s="368"/>
    </row>
    <row r="72" spans="1:15" x14ac:dyDescent="0.2">
      <c r="A72" s="174"/>
      <c r="B72" s="175"/>
      <c r="C72" s="175"/>
      <c r="D72" s="175"/>
      <c r="E72" s="175"/>
      <c r="F72" s="175"/>
      <c r="G72" s="175"/>
      <c r="H72" s="366"/>
      <c r="I72" s="367"/>
      <c r="J72" s="367"/>
      <c r="K72" s="367"/>
      <c r="L72" s="367"/>
      <c r="M72" s="367"/>
      <c r="N72" s="367"/>
      <c r="O72" s="368"/>
    </row>
    <row r="73" spans="1:15" x14ac:dyDescent="0.2">
      <c r="A73" s="174"/>
      <c r="B73" s="175"/>
      <c r="C73" s="175"/>
      <c r="D73" s="175"/>
      <c r="E73" s="175"/>
      <c r="F73" s="175"/>
      <c r="G73" s="175"/>
      <c r="H73" s="366"/>
      <c r="I73" s="367"/>
      <c r="J73" s="367"/>
      <c r="K73" s="367"/>
      <c r="L73" s="367"/>
      <c r="M73" s="367"/>
      <c r="N73" s="367"/>
      <c r="O73" s="368"/>
    </row>
    <row r="74" spans="1:15" x14ac:dyDescent="0.2">
      <c r="A74" s="174"/>
      <c r="B74" s="175"/>
      <c r="C74" s="175"/>
      <c r="D74" s="175"/>
      <c r="E74" s="175"/>
      <c r="F74" s="175"/>
      <c r="G74" s="175"/>
      <c r="H74" s="369"/>
      <c r="I74" s="370"/>
      <c r="J74" s="370"/>
      <c r="K74" s="370"/>
      <c r="L74" s="370"/>
      <c r="M74" s="370"/>
      <c r="N74" s="370"/>
      <c r="O74" s="371"/>
    </row>
    <row r="75" spans="1:15" x14ac:dyDescent="0.2">
      <c r="A75" s="174"/>
      <c r="B75" s="175"/>
      <c r="C75" s="175"/>
      <c r="D75" s="175"/>
      <c r="E75" s="175"/>
      <c r="F75" s="175"/>
      <c r="G75" s="175"/>
      <c r="H75" s="175"/>
      <c r="I75" s="175"/>
      <c r="J75" s="175"/>
      <c r="K75" s="175"/>
      <c r="L75" s="175"/>
      <c r="M75" s="175"/>
      <c r="N75" s="175"/>
      <c r="O75" s="176"/>
    </row>
    <row r="76" spans="1:15" x14ac:dyDescent="0.2">
      <c r="A76" s="174"/>
      <c r="B76" s="175"/>
      <c r="C76" s="175"/>
      <c r="D76" s="175"/>
      <c r="E76" s="175"/>
      <c r="F76" s="175"/>
      <c r="G76" s="175"/>
      <c r="H76" s="175"/>
      <c r="I76" s="175"/>
      <c r="J76" s="175"/>
      <c r="K76" s="175"/>
      <c r="L76" s="175"/>
      <c r="M76" s="175"/>
      <c r="N76" s="175"/>
      <c r="O76" s="176"/>
    </row>
    <row r="77" spans="1:15" x14ac:dyDescent="0.2">
      <c r="A77" s="174"/>
      <c r="B77" s="175"/>
      <c r="C77" s="175"/>
      <c r="D77" s="175"/>
      <c r="E77" s="175"/>
      <c r="F77" s="175"/>
      <c r="G77" s="175"/>
      <c r="H77" s="175"/>
      <c r="I77" s="175"/>
      <c r="J77" s="175"/>
      <c r="K77" s="175"/>
      <c r="L77" s="175"/>
      <c r="M77" s="175"/>
      <c r="N77" s="175"/>
      <c r="O77" s="176"/>
    </row>
    <row r="78" spans="1:15" x14ac:dyDescent="0.2">
      <c r="A78" s="235"/>
      <c r="B78" s="236"/>
      <c r="C78" s="236"/>
      <c r="D78" s="236"/>
      <c r="E78" s="236"/>
      <c r="F78" s="236"/>
      <c r="G78" s="236"/>
      <c r="H78" s="236"/>
      <c r="I78" s="236"/>
      <c r="J78" s="236"/>
      <c r="K78" s="236"/>
      <c r="L78" s="236"/>
      <c r="M78" s="236"/>
      <c r="N78" s="236"/>
      <c r="O78" s="237"/>
    </row>
  </sheetData>
  <sheetProtection algorithmName="SHA-512" hashValue="LAE2ifElEa9kDGWgb+WAehAzY7+9JfxVuYvA6FX/wwULsi2mzqonIW5kgzAH+z2ifx+5NkNhhiXXCVEtsEIHMw==" saltValue="0mSEhgHUXdV3nDLsTclpLg==" spinCount="100000" sheet="1" objects="1" scenarios="1"/>
  <mergeCells count="5">
    <mergeCell ref="A1:O1"/>
    <mergeCell ref="A18:O18"/>
    <mergeCell ref="A40:F40"/>
    <mergeCell ref="H46:O74"/>
    <mergeCell ref="K32:L32"/>
  </mergeCells>
  <pageMargins left="0.25" right="0.25" top="0.75" bottom="0.75" header="0.3" footer="0.3"/>
  <pageSetup scale="45" orientation="portrait" horizontalDpi="0" verticalDpi="0"/>
  <ignoredErrors>
    <ignoredError sqref="J42 L42" formula="1"/>
  </ignoredErrors>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16EA3-94BF-B74A-84D9-33B75ABCD0F7}">
  <sheetPr>
    <pageSetUpPr fitToPage="1"/>
  </sheetPr>
  <dimension ref="A1:P142"/>
  <sheetViews>
    <sheetView zoomScale="63" zoomScaleNormal="98" workbookViewId="0">
      <selection activeCell="M31" sqref="M31"/>
    </sheetView>
  </sheetViews>
  <sheetFormatPr baseColWidth="10" defaultRowHeight="15" x14ac:dyDescent="0.2"/>
  <cols>
    <col min="1" max="1" width="10.83203125" customWidth="1"/>
    <col min="2" max="2" width="21.33203125" customWidth="1"/>
  </cols>
  <sheetData>
    <row r="1" spans="1:16" ht="47" x14ac:dyDescent="0.55000000000000004">
      <c r="A1" s="373" t="s">
        <v>284</v>
      </c>
      <c r="B1" s="374"/>
      <c r="C1" s="374"/>
      <c r="D1" s="374"/>
      <c r="E1" s="374"/>
      <c r="F1" s="374"/>
      <c r="G1" s="374"/>
      <c r="H1" s="374"/>
      <c r="I1" s="374"/>
      <c r="J1" s="374"/>
      <c r="K1" s="374"/>
      <c r="L1" s="374"/>
      <c r="M1" s="374"/>
      <c r="N1" s="374"/>
      <c r="O1" s="374"/>
      <c r="P1" s="374"/>
    </row>
    <row r="2" spans="1:16" ht="16" x14ac:dyDescent="0.2">
      <c r="A2" s="239"/>
      <c r="B2" s="239"/>
      <c r="C2" s="239"/>
      <c r="D2" s="239"/>
      <c r="E2" s="239"/>
      <c r="F2" s="239"/>
      <c r="G2" s="239"/>
      <c r="H2" s="239"/>
      <c r="I2" s="239"/>
      <c r="J2" s="239"/>
      <c r="K2" s="239"/>
      <c r="L2" s="239"/>
      <c r="M2" s="239"/>
      <c r="N2" s="239"/>
      <c r="O2" s="239"/>
      <c r="P2" s="239"/>
    </row>
    <row r="3" spans="1:16" ht="16" x14ac:dyDescent="0.2">
      <c r="A3" s="239"/>
      <c r="B3" s="239"/>
      <c r="C3" s="239"/>
      <c r="D3" s="239"/>
      <c r="E3" s="239"/>
      <c r="F3" s="239"/>
      <c r="G3" s="239"/>
      <c r="H3" s="239"/>
      <c r="I3" s="239"/>
      <c r="J3" s="239"/>
      <c r="K3" s="239"/>
      <c r="L3" s="239"/>
      <c r="M3" s="239"/>
      <c r="N3" s="239"/>
      <c r="O3" s="239"/>
      <c r="P3" s="239"/>
    </row>
    <row r="4" spans="1:16" ht="19" x14ac:dyDescent="0.25">
      <c r="A4" s="239"/>
      <c r="B4" s="240" t="s">
        <v>71</v>
      </c>
      <c r="C4" s="241"/>
      <c r="D4" s="241"/>
      <c r="E4" s="241"/>
      <c r="F4" s="241"/>
      <c r="G4" s="241"/>
      <c r="H4" s="241"/>
      <c r="I4" s="241"/>
      <c r="J4" s="241"/>
      <c r="K4" s="241"/>
      <c r="L4" s="241"/>
      <c r="M4" s="241"/>
      <c r="N4" s="241"/>
      <c r="O4" s="242"/>
      <c r="P4" s="239"/>
    </row>
    <row r="5" spans="1:16" ht="16" x14ac:dyDescent="0.2">
      <c r="A5" s="239"/>
      <c r="B5" s="243" t="s">
        <v>279</v>
      </c>
      <c r="C5" s="244" t="s">
        <v>191</v>
      </c>
      <c r="D5" s="244" t="s">
        <v>192</v>
      </c>
      <c r="E5" s="244" t="s">
        <v>193</v>
      </c>
      <c r="F5" s="244" t="s">
        <v>194</v>
      </c>
      <c r="G5" s="244" t="s">
        <v>195</v>
      </c>
      <c r="H5" s="244" t="s">
        <v>196</v>
      </c>
      <c r="I5" s="244" t="s">
        <v>197</v>
      </c>
      <c r="J5" s="244" t="s">
        <v>198</v>
      </c>
      <c r="K5" s="244" t="s">
        <v>199</v>
      </c>
      <c r="L5" s="244" t="s">
        <v>200</v>
      </c>
      <c r="M5" s="244" t="s">
        <v>201</v>
      </c>
      <c r="N5" s="244" t="s">
        <v>202</v>
      </c>
      <c r="O5" s="245" t="s">
        <v>204</v>
      </c>
      <c r="P5" s="239"/>
    </row>
    <row r="6" spans="1:16" ht="16" x14ac:dyDescent="0.2">
      <c r="A6" s="239"/>
      <c r="B6" s="246" t="s">
        <v>22</v>
      </c>
      <c r="C6" s="247">
        <v>10000</v>
      </c>
      <c r="D6" s="247">
        <v>10000</v>
      </c>
      <c r="E6" s="247">
        <v>10000</v>
      </c>
      <c r="F6" s="247">
        <v>10000</v>
      </c>
      <c r="G6" s="247">
        <v>10000</v>
      </c>
      <c r="H6" s="247">
        <v>10000</v>
      </c>
      <c r="I6" s="247">
        <v>10000</v>
      </c>
      <c r="J6" s="247">
        <v>10000</v>
      </c>
      <c r="K6" s="247">
        <v>10000</v>
      </c>
      <c r="L6" s="247">
        <v>10000</v>
      </c>
      <c r="M6" s="247">
        <v>10000</v>
      </c>
      <c r="N6" s="247">
        <v>10000</v>
      </c>
      <c r="O6" s="248">
        <f>IF(COUNTA(C6:N6)=0,"",SUM(C6:N6))</f>
        <v>120000</v>
      </c>
      <c r="P6" s="239"/>
    </row>
    <row r="7" spans="1:16" ht="16" x14ac:dyDescent="0.2">
      <c r="A7" s="239"/>
      <c r="B7" s="246" t="s">
        <v>37</v>
      </c>
      <c r="C7" s="249"/>
      <c r="D7" s="249"/>
      <c r="E7" s="249"/>
      <c r="F7" s="249"/>
      <c r="G7" s="249"/>
      <c r="H7" s="249"/>
      <c r="I7" s="249"/>
      <c r="J7" s="249"/>
      <c r="K7" s="249"/>
      <c r="L7" s="249"/>
      <c r="M7" s="249"/>
      <c r="N7" s="249"/>
      <c r="O7" s="248" t="str">
        <f t="shared" ref="O7:O14" si="0">IF(COUNTA(C7:N7)=0,"",SUM(C7:N7))</f>
        <v/>
      </c>
      <c r="P7" s="239"/>
    </row>
    <row r="8" spans="1:16" ht="16" x14ac:dyDescent="0.2">
      <c r="A8" s="239"/>
      <c r="B8" s="246" t="s">
        <v>40</v>
      </c>
      <c r="C8" s="249"/>
      <c r="D8" s="249"/>
      <c r="E8" s="249"/>
      <c r="F8" s="249"/>
      <c r="G8" s="249"/>
      <c r="H8" s="249"/>
      <c r="I8" s="249"/>
      <c r="J8" s="249"/>
      <c r="K8" s="249"/>
      <c r="L8" s="249"/>
      <c r="M8" s="249"/>
      <c r="N8" s="249"/>
      <c r="O8" s="248" t="str">
        <f t="shared" si="0"/>
        <v/>
      </c>
      <c r="P8" s="239"/>
    </row>
    <row r="9" spans="1:16" ht="16" x14ac:dyDescent="0.2">
      <c r="A9" s="239"/>
      <c r="B9" s="246" t="s">
        <v>203</v>
      </c>
      <c r="C9" s="249"/>
      <c r="D9" s="249"/>
      <c r="E9" s="249"/>
      <c r="F9" s="249"/>
      <c r="G9" s="249"/>
      <c r="H9" s="249"/>
      <c r="I9" s="249"/>
      <c r="J9" s="249"/>
      <c r="K9" s="249"/>
      <c r="L9" s="249"/>
      <c r="M9" s="249"/>
      <c r="N9" s="249"/>
      <c r="O9" s="248" t="str">
        <f t="shared" si="0"/>
        <v/>
      </c>
      <c r="P9" s="239"/>
    </row>
    <row r="10" spans="1:16" ht="16" x14ac:dyDescent="0.2">
      <c r="A10" s="239"/>
      <c r="B10" s="246" t="s">
        <v>42</v>
      </c>
      <c r="C10" s="249"/>
      <c r="D10" s="249"/>
      <c r="E10" s="249"/>
      <c r="F10" s="249"/>
      <c r="G10" s="249"/>
      <c r="H10" s="249"/>
      <c r="I10" s="249"/>
      <c r="J10" s="249"/>
      <c r="K10" s="249"/>
      <c r="L10" s="249"/>
      <c r="M10" s="249"/>
      <c r="N10" s="249"/>
      <c r="O10" s="248" t="str">
        <f t="shared" si="0"/>
        <v/>
      </c>
      <c r="P10" s="239"/>
    </row>
    <row r="11" spans="1:16" ht="16" x14ac:dyDescent="0.2">
      <c r="A11" s="239"/>
      <c r="B11" s="246" t="s">
        <v>43</v>
      </c>
      <c r="C11" s="249"/>
      <c r="D11" s="249"/>
      <c r="E11" s="249"/>
      <c r="F11" s="249"/>
      <c r="G11" s="249"/>
      <c r="H11" s="249"/>
      <c r="I11" s="249"/>
      <c r="J11" s="249"/>
      <c r="K11" s="249"/>
      <c r="L11" s="249"/>
      <c r="M11" s="249"/>
      <c r="N11" s="249"/>
      <c r="O11" s="248" t="str">
        <f t="shared" si="0"/>
        <v/>
      </c>
      <c r="P11" s="239"/>
    </row>
    <row r="12" spans="1:16" ht="16" x14ac:dyDescent="0.2">
      <c r="A12" s="239"/>
      <c r="B12" s="246" t="s">
        <v>54</v>
      </c>
      <c r="C12" s="249"/>
      <c r="D12" s="249"/>
      <c r="E12" s="249"/>
      <c r="F12" s="249"/>
      <c r="G12" s="249"/>
      <c r="H12" s="249"/>
      <c r="I12" s="249"/>
      <c r="J12" s="249"/>
      <c r="K12" s="249"/>
      <c r="L12" s="249"/>
      <c r="M12" s="249"/>
      <c r="N12" s="249"/>
      <c r="O12" s="248" t="str">
        <f t="shared" si="0"/>
        <v/>
      </c>
      <c r="P12" s="239"/>
    </row>
    <row r="13" spans="1:16" ht="16" x14ac:dyDescent="0.2">
      <c r="A13" s="239"/>
      <c r="B13" s="246" t="s">
        <v>39</v>
      </c>
      <c r="C13" s="249"/>
      <c r="D13" s="249"/>
      <c r="E13" s="249"/>
      <c r="F13" s="249"/>
      <c r="G13" s="249"/>
      <c r="H13" s="249"/>
      <c r="I13" s="249"/>
      <c r="J13" s="249"/>
      <c r="K13" s="249"/>
      <c r="L13" s="249"/>
      <c r="M13" s="249"/>
      <c r="N13" s="249"/>
      <c r="O13" s="248" t="str">
        <f t="shared" si="0"/>
        <v/>
      </c>
      <c r="P13" s="239"/>
    </row>
    <row r="14" spans="1:16" ht="16" x14ac:dyDescent="0.2">
      <c r="A14" s="239"/>
      <c r="B14" s="246" t="s">
        <v>23</v>
      </c>
      <c r="C14" s="249"/>
      <c r="D14" s="249"/>
      <c r="E14" s="249"/>
      <c r="F14" s="249"/>
      <c r="G14" s="249"/>
      <c r="H14" s="249"/>
      <c r="I14" s="249"/>
      <c r="J14" s="249"/>
      <c r="K14" s="249"/>
      <c r="L14" s="249"/>
      <c r="M14" s="249"/>
      <c r="N14" s="249"/>
      <c r="O14" s="248" t="str">
        <f t="shared" si="0"/>
        <v/>
      </c>
      <c r="P14" s="239"/>
    </row>
    <row r="15" spans="1:16" ht="16" x14ac:dyDescent="0.2">
      <c r="A15" s="239"/>
      <c r="B15" s="250" t="s">
        <v>205</v>
      </c>
      <c r="C15" s="251">
        <f>IF(COUNTA(C6:C14)=0, "", SUM(C6:C14))</f>
        <v>10000</v>
      </c>
      <c r="D15" s="251">
        <f>IF(COUNTA(D6:D14)=0, "", SUM(D6:D14))</f>
        <v>10000</v>
      </c>
      <c r="E15" s="251">
        <f t="shared" ref="E15:N15" si="1">IF(COUNTA(E6:E14)=0, "", SUM(E6:E14))</f>
        <v>10000</v>
      </c>
      <c r="F15" s="251">
        <f t="shared" si="1"/>
        <v>10000</v>
      </c>
      <c r="G15" s="251">
        <f t="shared" si="1"/>
        <v>10000</v>
      </c>
      <c r="H15" s="251">
        <f t="shared" si="1"/>
        <v>10000</v>
      </c>
      <c r="I15" s="251">
        <f t="shared" si="1"/>
        <v>10000</v>
      </c>
      <c r="J15" s="251">
        <f t="shared" si="1"/>
        <v>10000</v>
      </c>
      <c r="K15" s="251">
        <f t="shared" si="1"/>
        <v>10000</v>
      </c>
      <c r="L15" s="251">
        <f t="shared" si="1"/>
        <v>10000</v>
      </c>
      <c r="M15" s="251">
        <f t="shared" si="1"/>
        <v>10000</v>
      </c>
      <c r="N15" s="251">
        <f t="shared" si="1"/>
        <v>10000</v>
      </c>
      <c r="O15" s="252">
        <f>IF(COUNTA(O6:O14)=0,"",SUM(O6:O14))</f>
        <v>120000</v>
      </c>
      <c r="P15" s="239"/>
    </row>
    <row r="16" spans="1:16" ht="16" x14ac:dyDescent="0.2">
      <c r="A16" s="239"/>
      <c r="B16" s="253" t="s">
        <v>206</v>
      </c>
      <c r="C16" s="254">
        <f>IF(COUNTA(C15:N15)=0, "", SUM(C15:N15))</f>
        <v>120000</v>
      </c>
      <c r="D16" s="255"/>
      <c r="E16" s="255"/>
      <c r="F16" s="255"/>
      <c r="G16" s="255"/>
      <c r="H16" s="255"/>
      <c r="I16" s="255"/>
      <c r="J16" s="255"/>
      <c r="K16" s="255"/>
      <c r="L16" s="255"/>
      <c r="M16" s="255"/>
      <c r="N16" s="255"/>
      <c r="O16" s="256"/>
      <c r="P16" s="239"/>
    </row>
    <row r="17" spans="1:16" ht="16" x14ac:dyDescent="0.2">
      <c r="A17" s="239"/>
      <c r="B17" s="257"/>
      <c r="C17" s="255"/>
      <c r="D17" s="255"/>
      <c r="E17" s="255"/>
      <c r="F17" s="255"/>
      <c r="G17" s="255"/>
      <c r="H17" s="255"/>
      <c r="I17" s="255"/>
      <c r="J17" s="255"/>
      <c r="K17" s="255"/>
      <c r="L17" s="255"/>
      <c r="M17" s="255"/>
      <c r="N17" s="255"/>
      <c r="O17" s="256"/>
      <c r="P17" s="239"/>
    </row>
    <row r="18" spans="1:16" ht="19" x14ac:dyDescent="0.25">
      <c r="A18" s="239"/>
      <c r="B18" s="258" t="s">
        <v>209</v>
      </c>
      <c r="C18" s="241"/>
      <c r="D18" s="241"/>
      <c r="E18" s="241"/>
      <c r="F18" s="241"/>
      <c r="G18" s="241"/>
      <c r="H18" s="241"/>
      <c r="I18" s="241"/>
      <c r="J18" s="241"/>
      <c r="K18" s="241"/>
      <c r="L18" s="241"/>
      <c r="M18" s="241"/>
      <c r="N18" s="241"/>
      <c r="O18" s="242"/>
      <c r="P18" s="239"/>
    </row>
    <row r="19" spans="1:16" ht="16" x14ac:dyDescent="0.2">
      <c r="A19" s="239"/>
      <c r="B19" s="243" t="s">
        <v>207</v>
      </c>
      <c r="C19" s="244" t="s">
        <v>191</v>
      </c>
      <c r="D19" s="244" t="s">
        <v>192</v>
      </c>
      <c r="E19" s="244" t="s">
        <v>193</v>
      </c>
      <c r="F19" s="244" t="s">
        <v>194</v>
      </c>
      <c r="G19" s="244" t="s">
        <v>195</v>
      </c>
      <c r="H19" s="244" t="s">
        <v>196</v>
      </c>
      <c r="I19" s="244" t="s">
        <v>197</v>
      </c>
      <c r="J19" s="244" t="s">
        <v>198</v>
      </c>
      <c r="K19" s="244" t="s">
        <v>199</v>
      </c>
      <c r="L19" s="244" t="s">
        <v>200</v>
      </c>
      <c r="M19" s="244" t="s">
        <v>201</v>
      </c>
      <c r="N19" s="244" t="s">
        <v>202</v>
      </c>
      <c r="O19" s="245" t="s">
        <v>204</v>
      </c>
      <c r="P19" s="239"/>
    </row>
    <row r="20" spans="1:16" ht="16" x14ac:dyDescent="0.2">
      <c r="A20" s="239"/>
      <c r="B20" s="180" t="s">
        <v>46</v>
      </c>
      <c r="C20" s="259">
        <v>1</v>
      </c>
      <c r="D20" s="259">
        <v>1</v>
      </c>
      <c r="E20" s="259">
        <v>1</v>
      </c>
      <c r="F20" s="259">
        <v>1</v>
      </c>
      <c r="G20" s="259">
        <v>1</v>
      </c>
      <c r="H20" s="259">
        <v>1</v>
      </c>
      <c r="I20" s="259">
        <v>1</v>
      </c>
      <c r="J20" s="259">
        <v>1</v>
      </c>
      <c r="K20" s="259">
        <v>1</v>
      </c>
      <c r="L20" s="259">
        <v>1</v>
      </c>
      <c r="M20" s="259">
        <v>1</v>
      </c>
      <c r="N20" s="259">
        <v>1</v>
      </c>
      <c r="O20" s="260">
        <f>IF(COUNTA(C20:N20)=0, "", SUM(C20:N20))</f>
        <v>12</v>
      </c>
      <c r="P20" s="239"/>
    </row>
    <row r="21" spans="1:16" ht="16" x14ac:dyDescent="0.2">
      <c r="A21" s="239"/>
      <c r="B21" s="180" t="s">
        <v>57</v>
      </c>
      <c r="C21" s="259"/>
      <c r="D21" s="259"/>
      <c r="E21" s="259"/>
      <c r="F21" s="259"/>
      <c r="G21" s="259"/>
      <c r="H21" s="259"/>
      <c r="I21" s="259"/>
      <c r="J21" s="259"/>
      <c r="K21" s="259"/>
      <c r="L21" s="259"/>
      <c r="M21" s="259"/>
      <c r="N21" s="259"/>
      <c r="O21" s="260" t="str">
        <f t="shared" ref="O21:O27" si="2">IF(COUNTA(C21:N21)=0, "", SUM(C21:N21))</f>
        <v/>
      </c>
      <c r="P21" s="239"/>
    </row>
    <row r="22" spans="1:16" ht="16" x14ac:dyDescent="0.2">
      <c r="A22" s="239"/>
      <c r="B22" s="180" t="s">
        <v>47</v>
      </c>
      <c r="C22" s="259"/>
      <c r="D22" s="259"/>
      <c r="E22" s="259"/>
      <c r="F22" s="259"/>
      <c r="G22" s="259"/>
      <c r="H22" s="259"/>
      <c r="I22" s="259"/>
      <c r="J22" s="259"/>
      <c r="K22" s="259"/>
      <c r="L22" s="261"/>
      <c r="M22" s="259"/>
      <c r="N22" s="259"/>
      <c r="O22" s="260" t="str">
        <f t="shared" si="2"/>
        <v/>
      </c>
      <c r="P22" s="239"/>
    </row>
    <row r="23" spans="1:16" ht="16" x14ac:dyDescent="0.2">
      <c r="A23" s="239"/>
      <c r="B23" s="180" t="s">
        <v>48</v>
      </c>
      <c r="C23" s="259"/>
      <c r="D23" s="259"/>
      <c r="E23" s="259"/>
      <c r="F23" s="259"/>
      <c r="G23" s="259"/>
      <c r="H23" s="259"/>
      <c r="I23" s="259"/>
      <c r="J23" s="259"/>
      <c r="K23" s="259"/>
      <c r="L23" s="259"/>
      <c r="M23" s="259"/>
      <c r="N23" s="259"/>
      <c r="O23" s="260" t="str">
        <f t="shared" si="2"/>
        <v/>
      </c>
      <c r="P23" s="239"/>
    </row>
    <row r="24" spans="1:16" ht="16" x14ac:dyDescent="0.2">
      <c r="A24" s="239"/>
      <c r="B24" s="180" t="s">
        <v>58</v>
      </c>
      <c r="C24" s="259"/>
      <c r="D24" s="259"/>
      <c r="E24" s="259"/>
      <c r="F24" s="259"/>
      <c r="G24" s="259"/>
      <c r="H24" s="259"/>
      <c r="I24" s="259"/>
      <c r="J24" s="259"/>
      <c r="K24" s="259"/>
      <c r="L24" s="259"/>
      <c r="M24" s="259"/>
      <c r="N24" s="259"/>
      <c r="O24" s="260" t="str">
        <f t="shared" si="2"/>
        <v/>
      </c>
      <c r="P24" s="239"/>
    </row>
    <row r="25" spans="1:16" ht="16" x14ac:dyDescent="0.2">
      <c r="A25" s="239"/>
      <c r="B25" s="180" t="s">
        <v>49</v>
      </c>
      <c r="C25" s="259"/>
      <c r="D25" s="259"/>
      <c r="E25" s="259"/>
      <c r="F25" s="259"/>
      <c r="G25" s="259"/>
      <c r="H25" s="259"/>
      <c r="I25" s="259"/>
      <c r="J25" s="259"/>
      <c r="K25" s="259"/>
      <c r="L25" s="259"/>
      <c r="M25" s="259"/>
      <c r="N25" s="259"/>
      <c r="O25" s="260" t="str">
        <f t="shared" si="2"/>
        <v/>
      </c>
      <c r="P25" s="239"/>
    </row>
    <row r="26" spans="1:16" ht="16" x14ac:dyDescent="0.2">
      <c r="A26" s="239"/>
      <c r="B26" s="180" t="s">
        <v>217</v>
      </c>
      <c r="C26" s="259"/>
      <c r="D26" s="259"/>
      <c r="E26" s="259"/>
      <c r="F26" s="259"/>
      <c r="G26" s="259"/>
      <c r="H26" s="259"/>
      <c r="I26" s="259"/>
      <c r="J26" s="259"/>
      <c r="K26" s="259"/>
      <c r="L26" s="259"/>
      <c r="M26" s="259"/>
      <c r="N26" s="259"/>
      <c r="O26" s="260" t="str">
        <f t="shared" si="2"/>
        <v/>
      </c>
      <c r="P26" s="239"/>
    </row>
    <row r="27" spans="1:16" ht="16" x14ac:dyDescent="0.2">
      <c r="A27" s="239"/>
      <c r="B27" s="180" t="s">
        <v>216</v>
      </c>
      <c r="C27" s="259"/>
      <c r="D27" s="259"/>
      <c r="E27" s="259"/>
      <c r="F27" s="259"/>
      <c r="G27" s="259"/>
      <c r="H27" s="259"/>
      <c r="I27" s="259"/>
      <c r="J27" s="259"/>
      <c r="K27" s="259"/>
      <c r="L27" s="259"/>
      <c r="M27" s="259"/>
      <c r="N27" s="259"/>
      <c r="O27" s="260" t="str">
        <f t="shared" si="2"/>
        <v/>
      </c>
      <c r="P27" s="239"/>
    </row>
    <row r="28" spans="1:16" ht="16" x14ac:dyDescent="0.2">
      <c r="A28" s="239"/>
      <c r="B28" s="262" t="s">
        <v>205</v>
      </c>
      <c r="C28" s="263">
        <f>IF(COUNTA(C20:C27)=0, "", SUM(C20:C27))</f>
        <v>1</v>
      </c>
      <c r="D28" s="263">
        <f t="shared" ref="D28:N28" si="3">IF(COUNTA(D20:D27)=0, "", SUM(D20:D27))</f>
        <v>1</v>
      </c>
      <c r="E28" s="263">
        <f t="shared" si="3"/>
        <v>1</v>
      </c>
      <c r="F28" s="263">
        <f t="shared" si="3"/>
        <v>1</v>
      </c>
      <c r="G28" s="263">
        <f t="shared" si="3"/>
        <v>1</v>
      </c>
      <c r="H28" s="263">
        <f t="shared" si="3"/>
        <v>1</v>
      </c>
      <c r="I28" s="263">
        <f t="shared" si="3"/>
        <v>1</v>
      </c>
      <c r="J28" s="263">
        <f t="shared" si="3"/>
        <v>1</v>
      </c>
      <c r="K28" s="263">
        <f t="shared" si="3"/>
        <v>1</v>
      </c>
      <c r="L28" s="263">
        <f t="shared" si="3"/>
        <v>1</v>
      </c>
      <c r="M28" s="263">
        <f t="shared" si="3"/>
        <v>1</v>
      </c>
      <c r="N28" s="263">
        <f t="shared" si="3"/>
        <v>1</v>
      </c>
      <c r="O28" s="252">
        <f>IF(COUNTA(O20:O27)=0, "", SUM(O20:O27))</f>
        <v>12</v>
      </c>
      <c r="P28" s="239"/>
    </row>
    <row r="29" spans="1:16" ht="16" x14ac:dyDescent="0.2">
      <c r="A29" s="239"/>
      <c r="B29" s="264" t="s">
        <v>206</v>
      </c>
      <c r="C29" s="265">
        <f>IF(COUNTA(C28:N28)=0, "", SUM(C28:N28))</f>
        <v>12</v>
      </c>
      <c r="D29" s="255"/>
      <c r="E29" s="255"/>
      <c r="F29" s="255"/>
      <c r="G29" s="255"/>
      <c r="H29" s="255"/>
      <c r="I29" s="255"/>
      <c r="J29" s="255"/>
      <c r="K29" s="255"/>
      <c r="L29" s="255"/>
      <c r="M29" s="255"/>
      <c r="N29" s="255"/>
      <c r="O29" s="256"/>
      <c r="P29" s="239"/>
    </row>
    <row r="30" spans="1:16" ht="16" x14ac:dyDescent="0.2">
      <c r="A30" s="239"/>
      <c r="B30" s="257"/>
      <c r="C30" s="255"/>
      <c r="D30" s="255"/>
      <c r="E30" s="255"/>
      <c r="F30" s="255"/>
      <c r="G30" s="255"/>
      <c r="H30" s="255"/>
      <c r="I30" s="255"/>
      <c r="J30" s="255"/>
      <c r="K30" s="255"/>
      <c r="L30" s="255"/>
      <c r="M30" s="255"/>
      <c r="N30" s="255"/>
      <c r="O30" s="256"/>
      <c r="P30" s="239"/>
    </row>
    <row r="31" spans="1:16" ht="16" x14ac:dyDescent="0.2">
      <c r="A31" s="239"/>
      <c r="B31" s="243" t="s">
        <v>208</v>
      </c>
      <c r="C31" s="244" t="s">
        <v>191</v>
      </c>
      <c r="D31" s="244" t="s">
        <v>192</v>
      </c>
      <c r="E31" s="244" t="s">
        <v>193</v>
      </c>
      <c r="F31" s="244" t="s">
        <v>194</v>
      </c>
      <c r="G31" s="244" t="s">
        <v>195</v>
      </c>
      <c r="H31" s="244" t="s">
        <v>196</v>
      </c>
      <c r="I31" s="244" t="s">
        <v>197</v>
      </c>
      <c r="J31" s="244" t="s">
        <v>198</v>
      </c>
      <c r="K31" s="244" t="s">
        <v>199</v>
      </c>
      <c r="L31" s="244" t="s">
        <v>200</v>
      </c>
      <c r="M31" s="244" t="s">
        <v>201</v>
      </c>
      <c r="N31" s="244" t="s">
        <v>202</v>
      </c>
      <c r="O31" s="245" t="s">
        <v>204</v>
      </c>
      <c r="P31" s="239"/>
    </row>
    <row r="32" spans="1:16" ht="16" x14ac:dyDescent="0.2">
      <c r="A32" s="239"/>
      <c r="B32" s="180" t="s">
        <v>36</v>
      </c>
      <c r="C32" s="259"/>
      <c r="D32" s="259"/>
      <c r="E32" s="259"/>
      <c r="F32" s="259"/>
      <c r="G32" s="259"/>
      <c r="H32" s="259"/>
      <c r="I32" s="259"/>
      <c r="J32" s="259"/>
      <c r="K32" s="259"/>
      <c r="L32" s="259"/>
      <c r="M32" s="259"/>
      <c r="N32" s="259"/>
      <c r="O32" s="260" t="str">
        <f>IF(COUNTA(C32:N32)=0, "", SUM(C32:N32))</f>
        <v/>
      </c>
      <c r="P32" s="239"/>
    </row>
    <row r="33" spans="1:16" ht="16" x14ac:dyDescent="0.2">
      <c r="A33" s="239"/>
      <c r="B33" s="180" t="s">
        <v>53</v>
      </c>
      <c r="C33" s="259">
        <v>1</v>
      </c>
      <c r="D33" s="259">
        <v>1</v>
      </c>
      <c r="E33" s="259">
        <v>1</v>
      </c>
      <c r="F33" s="259">
        <v>1</v>
      </c>
      <c r="G33" s="259">
        <v>1</v>
      </c>
      <c r="H33" s="259">
        <v>1</v>
      </c>
      <c r="I33" s="259">
        <v>1</v>
      </c>
      <c r="J33" s="259">
        <v>1</v>
      </c>
      <c r="K33" s="259">
        <v>1</v>
      </c>
      <c r="L33" s="259">
        <v>1</v>
      </c>
      <c r="M33" s="259">
        <v>1</v>
      </c>
      <c r="N33" s="259">
        <v>1</v>
      </c>
      <c r="O33" s="260">
        <f t="shared" ref="O33:O38" si="4">IF(COUNTA(C33:N33)=0, "", SUM(C33:N33))</f>
        <v>12</v>
      </c>
      <c r="P33" s="239"/>
    </row>
    <row r="34" spans="1:16" ht="16" x14ac:dyDescent="0.2">
      <c r="A34" s="239"/>
      <c r="B34" s="180" t="s">
        <v>211</v>
      </c>
      <c r="C34" s="259"/>
      <c r="D34" s="259"/>
      <c r="E34" s="259"/>
      <c r="F34" s="259"/>
      <c r="G34" s="259"/>
      <c r="H34" s="259"/>
      <c r="I34" s="259"/>
      <c r="J34" s="259"/>
      <c r="K34" s="259"/>
      <c r="L34" s="259"/>
      <c r="M34" s="259"/>
      <c r="N34" s="259"/>
      <c r="O34" s="260" t="str">
        <f t="shared" si="4"/>
        <v/>
      </c>
      <c r="P34" s="239"/>
    </row>
    <row r="35" spans="1:16" ht="16" x14ac:dyDescent="0.2">
      <c r="A35" s="239"/>
      <c r="B35" s="180" t="s">
        <v>210</v>
      </c>
      <c r="C35" s="259"/>
      <c r="D35" s="259"/>
      <c r="E35" s="259"/>
      <c r="F35" s="259"/>
      <c r="G35" s="259"/>
      <c r="H35" s="259"/>
      <c r="I35" s="259"/>
      <c r="J35" s="259"/>
      <c r="K35" s="259"/>
      <c r="L35" s="259"/>
      <c r="M35" s="259"/>
      <c r="N35" s="259"/>
      <c r="O35" s="260" t="str">
        <f t="shared" si="4"/>
        <v/>
      </c>
      <c r="P35" s="239"/>
    </row>
    <row r="36" spans="1:16" ht="16" x14ac:dyDescent="0.2">
      <c r="A36" s="239"/>
      <c r="B36" s="180" t="s">
        <v>54</v>
      </c>
      <c r="C36" s="259"/>
      <c r="D36" s="259"/>
      <c r="E36" s="259"/>
      <c r="F36" s="259"/>
      <c r="G36" s="259"/>
      <c r="H36" s="259"/>
      <c r="I36" s="259"/>
      <c r="J36" s="259"/>
      <c r="K36" s="259"/>
      <c r="L36" s="259"/>
      <c r="M36" s="259"/>
      <c r="N36" s="259"/>
      <c r="O36" s="260" t="str">
        <f t="shared" si="4"/>
        <v/>
      </c>
      <c r="P36" s="239"/>
    </row>
    <row r="37" spans="1:16" ht="16" x14ac:dyDescent="0.2">
      <c r="A37" s="239"/>
      <c r="B37" s="180" t="s">
        <v>230</v>
      </c>
      <c r="C37" s="259"/>
      <c r="D37" s="259"/>
      <c r="E37" s="259"/>
      <c r="F37" s="259"/>
      <c r="G37" s="259"/>
      <c r="H37" s="259"/>
      <c r="I37" s="259"/>
      <c r="J37" s="259"/>
      <c r="K37" s="259"/>
      <c r="L37" s="259"/>
      <c r="M37" s="259"/>
      <c r="N37" s="259"/>
      <c r="O37" s="260" t="str">
        <f t="shared" si="4"/>
        <v/>
      </c>
      <c r="P37" s="239"/>
    </row>
    <row r="38" spans="1:16" ht="16" x14ac:dyDescent="0.2">
      <c r="A38" s="239"/>
      <c r="B38" s="180" t="s">
        <v>78</v>
      </c>
      <c r="C38" s="259"/>
      <c r="D38" s="259"/>
      <c r="E38" s="259"/>
      <c r="F38" s="259"/>
      <c r="G38" s="259"/>
      <c r="H38" s="259"/>
      <c r="I38" s="259"/>
      <c r="J38" s="259"/>
      <c r="K38" s="259"/>
      <c r="L38" s="259"/>
      <c r="M38" s="259"/>
      <c r="N38" s="259"/>
      <c r="O38" s="260" t="str">
        <f t="shared" si="4"/>
        <v/>
      </c>
      <c r="P38" s="239"/>
    </row>
    <row r="39" spans="1:16" ht="16" x14ac:dyDescent="0.2">
      <c r="A39" s="239"/>
      <c r="B39" s="262" t="s">
        <v>205</v>
      </c>
      <c r="C39" s="263">
        <f>IF(COUNTA(C32:C38)=0, "", SUM(C32:C38))</f>
        <v>1</v>
      </c>
      <c r="D39" s="263">
        <f t="shared" ref="D39:M39" si="5">IF(COUNTA(D32:D38)=0, "", SUM(D32:D38))</f>
        <v>1</v>
      </c>
      <c r="E39" s="263">
        <f t="shared" si="5"/>
        <v>1</v>
      </c>
      <c r="F39" s="263">
        <f t="shared" si="5"/>
        <v>1</v>
      </c>
      <c r="G39" s="263">
        <f t="shared" si="5"/>
        <v>1</v>
      </c>
      <c r="H39" s="263">
        <f t="shared" si="5"/>
        <v>1</v>
      </c>
      <c r="I39" s="263">
        <f t="shared" si="5"/>
        <v>1</v>
      </c>
      <c r="J39" s="263">
        <f t="shared" si="5"/>
        <v>1</v>
      </c>
      <c r="K39" s="263">
        <f t="shared" si="5"/>
        <v>1</v>
      </c>
      <c r="L39" s="263">
        <f t="shared" si="5"/>
        <v>1</v>
      </c>
      <c r="M39" s="263">
        <f t="shared" si="5"/>
        <v>1</v>
      </c>
      <c r="N39" s="263">
        <f>IF(COUNTA(N32:N38)=0, "", SUM(N32:N38))</f>
        <v>1</v>
      </c>
      <c r="O39" s="252">
        <f>IF(COUNTA(O32:O38)=0, "", SUM(O32:O38))</f>
        <v>12</v>
      </c>
      <c r="P39" s="239"/>
    </row>
    <row r="40" spans="1:16" ht="16" x14ac:dyDescent="0.2">
      <c r="A40" s="239"/>
      <c r="B40" s="264" t="s">
        <v>206</v>
      </c>
      <c r="C40" s="266">
        <f>IF(COUNTA(C39:N39)=0, "", SUM(C39:N39))</f>
        <v>12</v>
      </c>
      <c r="D40" s="255"/>
      <c r="E40" s="255"/>
      <c r="F40" s="255"/>
      <c r="G40" s="255"/>
      <c r="H40" s="255"/>
      <c r="I40" s="255"/>
      <c r="J40" s="255"/>
      <c r="K40" s="255"/>
      <c r="L40" s="255"/>
      <c r="M40" s="255"/>
      <c r="N40" s="255"/>
      <c r="O40" s="256"/>
      <c r="P40" s="239"/>
    </row>
    <row r="41" spans="1:16" ht="16" x14ac:dyDescent="0.2">
      <c r="A41" s="239"/>
      <c r="B41" s="267"/>
      <c r="C41" s="255"/>
      <c r="D41" s="255"/>
      <c r="E41" s="255"/>
      <c r="F41" s="255"/>
      <c r="G41" s="255"/>
      <c r="H41" s="255"/>
      <c r="I41" s="255"/>
      <c r="J41" s="255"/>
      <c r="K41" s="255"/>
      <c r="L41" s="255"/>
      <c r="M41" s="255"/>
      <c r="N41" s="255"/>
      <c r="O41" s="256"/>
      <c r="P41" s="239"/>
    </row>
    <row r="42" spans="1:16" ht="16" x14ac:dyDescent="0.2">
      <c r="A42" s="239"/>
      <c r="B42" s="243" t="s">
        <v>59</v>
      </c>
      <c r="C42" s="244" t="s">
        <v>191</v>
      </c>
      <c r="D42" s="244" t="s">
        <v>192</v>
      </c>
      <c r="E42" s="244" t="s">
        <v>193</v>
      </c>
      <c r="F42" s="244" t="s">
        <v>194</v>
      </c>
      <c r="G42" s="244" t="s">
        <v>195</v>
      </c>
      <c r="H42" s="244" t="s">
        <v>196</v>
      </c>
      <c r="I42" s="244" t="s">
        <v>197</v>
      </c>
      <c r="J42" s="244" t="s">
        <v>198</v>
      </c>
      <c r="K42" s="244" t="s">
        <v>199</v>
      </c>
      <c r="L42" s="244" t="s">
        <v>200</v>
      </c>
      <c r="M42" s="244" t="s">
        <v>201</v>
      </c>
      <c r="N42" s="244" t="s">
        <v>202</v>
      </c>
      <c r="O42" s="245" t="s">
        <v>204</v>
      </c>
      <c r="P42" s="239"/>
    </row>
    <row r="43" spans="1:16" ht="16" x14ac:dyDescent="0.2">
      <c r="A43" s="239"/>
      <c r="B43" s="180" t="s">
        <v>60</v>
      </c>
      <c r="C43" s="259"/>
      <c r="D43" s="259"/>
      <c r="E43" s="259"/>
      <c r="F43" s="259"/>
      <c r="G43" s="259"/>
      <c r="H43" s="259"/>
      <c r="I43" s="259"/>
      <c r="J43" s="259"/>
      <c r="K43" s="259"/>
      <c r="L43" s="259"/>
      <c r="M43" s="259"/>
      <c r="N43" s="259"/>
      <c r="O43" s="260" t="str">
        <f>IF(COUNTA(C43:N43)=0, "", SUM(C43:N43))</f>
        <v/>
      </c>
      <c r="P43" s="239"/>
    </row>
    <row r="44" spans="1:16" ht="16" x14ac:dyDescent="0.2">
      <c r="A44" s="239"/>
      <c r="B44" s="180" t="s">
        <v>243</v>
      </c>
      <c r="C44" s="259"/>
      <c r="D44" s="259"/>
      <c r="E44" s="259"/>
      <c r="F44" s="259"/>
      <c r="G44" s="259"/>
      <c r="H44" s="259"/>
      <c r="I44" s="259"/>
      <c r="J44" s="259"/>
      <c r="K44" s="259"/>
      <c r="L44" s="259"/>
      <c r="M44" s="259"/>
      <c r="N44" s="259"/>
      <c r="O44" s="260" t="str">
        <f t="shared" ref="O44:O55" si="6">IF(COUNTA(C44:N44)=0, "", SUM(C44:N44))</f>
        <v/>
      </c>
      <c r="P44" s="239"/>
    </row>
    <row r="45" spans="1:16" ht="16" x14ac:dyDescent="0.2">
      <c r="A45" s="239"/>
      <c r="B45" s="180" t="s">
        <v>239</v>
      </c>
      <c r="C45" s="259">
        <v>1</v>
      </c>
      <c r="D45" s="259">
        <v>1</v>
      </c>
      <c r="E45" s="259">
        <v>1</v>
      </c>
      <c r="F45" s="259">
        <v>1</v>
      </c>
      <c r="G45" s="259">
        <v>1</v>
      </c>
      <c r="H45" s="259">
        <v>1</v>
      </c>
      <c r="I45" s="259">
        <v>1</v>
      </c>
      <c r="J45" s="259">
        <v>1</v>
      </c>
      <c r="K45" s="259">
        <v>1</v>
      </c>
      <c r="L45" s="259">
        <v>1</v>
      </c>
      <c r="M45" s="259">
        <v>1</v>
      </c>
      <c r="N45" s="259">
        <v>1</v>
      </c>
      <c r="O45" s="260">
        <f t="shared" si="6"/>
        <v>12</v>
      </c>
      <c r="P45" s="239"/>
    </row>
    <row r="46" spans="1:16" ht="16" x14ac:dyDescent="0.2">
      <c r="A46" s="239"/>
      <c r="B46" s="180" t="s">
        <v>240</v>
      </c>
      <c r="C46" s="259"/>
      <c r="D46" s="259"/>
      <c r="E46" s="259"/>
      <c r="F46" s="259"/>
      <c r="G46" s="259"/>
      <c r="H46" s="259"/>
      <c r="I46" s="259"/>
      <c r="J46" s="259"/>
      <c r="K46" s="259"/>
      <c r="L46" s="259"/>
      <c r="M46" s="259"/>
      <c r="N46" s="259"/>
      <c r="O46" s="260" t="str">
        <f t="shared" si="6"/>
        <v/>
      </c>
      <c r="P46" s="239"/>
    </row>
    <row r="47" spans="1:16" ht="16" x14ac:dyDescent="0.2">
      <c r="A47" s="239"/>
      <c r="B47" s="180" t="s">
        <v>241</v>
      </c>
      <c r="C47" s="259"/>
      <c r="D47" s="259"/>
      <c r="E47" s="259"/>
      <c r="F47" s="259"/>
      <c r="G47" s="259"/>
      <c r="H47" s="259"/>
      <c r="I47" s="259"/>
      <c r="J47" s="259"/>
      <c r="K47" s="259"/>
      <c r="L47" s="259"/>
      <c r="M47" s="259"/>
      <c r="N47" s="259"/>
      <c r="O47" s="260"/>
      <c r="P47" s="239"/>
    </row>
    <row r="48" spans="1:16" ht="16" x14ac:dyDescent="0.2">
      <c r="A48" s="239"/>
      <c r="B48" s="180" t="s">
        <v>242</v>
      </c>
      <c r="C48" s="259"/>
      <c r="D48" s="259"/>
      <c r="E48" s="259"/>
      <c r="F48" s="259"/>
      <c r="G48" s="259"/>
      <c r="H48" s="259"/>
      <c r="I48" s="259"/>
      <c r="J48" s="259"/>
      <c r="K48" s="259"/>
      <c r="L48" s="259"/>
      <c r="M48" s="259"/>
      <c r="N48" s="259"/>
      <c r="O48" s="260" t="str">
        <f t="shared" si="6"/>
        <v/>
      </c>
      <c r="P48" s="239"/>
    </row>
    <row r="49" spans="1:16" ht="16" x14ac:dyDescent="0.2">
      <c r="A49" s="239"/>
      <c r="B49" s="180" t="s">
        <v>237</v>
      </c>
      <c r="C49" s="259"/>
      <c r="D49" s="259"/>
      <c r="E49" s="259"/>
      <c r="F49" s="259"/>
      <c r="G49" s="259"/>
      <c r="H49" s="259"/>
      <c r="I49" s="259"/>
      <c r="J49" s="259"/>
      <c r="K49" s="259"/>
      <c r="L49" s="259"/>
      <c r="M49" s="259"/>
      <c r="N49" s="259"/>
      <c r="O49" s="260" t="str">
        <f t="shared" si="6"/>
        <v/>
      </c>
      <c r="P49" s="239"/>
    </row>
    <row r="50" spans="1:16" ht="16" x14ac:dyDescent="0.2">
      <c r="A50" s="239"/>
      <c r="B50" s="180" t="s">
        <v>224</v>
      </c>
      <c r="C50" s="259"/>
      <c r="D50" s="259"/>
      <c r="E50" s="259"/>
      <c r="F50" s="259"/>
      <c r="G50" s="259"/>
      <c r="H50" s="259"/>
      <c r="I50" s="259"/>
      <c r="J50" s="259"/>
      <c r="K50" s="259"/>
      <c r="L50" s="259"/>
      <c r="M50" s="259"/>
      <c r="N50" s="259"/>
      <c r="O50" s="260" t="str">
        <f t="shared" si="6"/>
        <v/>
      </c>
      <c r="P50" s="239"/>
    </row>
    <row r="51" spans="1:16" ht="16" x14ac:dyDescent="0.2">
      <c r="A51" s="239"/>
      <c r="B51" s="180" t="s">
        <v>244</v>
      </c>
      <c r="C51" s="259"/>
      <c r="D51" s="259"/>
      <c r="E51" s="259"/>
      <c r="F51" s="259"/>
      <c r="G51" s="259"/>
      <c r="H51" s="259"/>
      <c r="I51" s="259"/>
      <c r="J51" s="259"/>
      <c r="K51" s="259"/>
      <c r="L51" s="259"/>
      <c r="M51" s="259"/>
      <c r="N51" s="259"/>
      <c r="O51" s="260" t="str">
        <f t="shared" si="6"/>
        <v/>
      </c>
      <c r="P51" s="239"/>
    </row>
    <row r="52" spans="1:16" ht="16" x14ac:dyDescent="0.2">
      <c r="A52" s="239"/>
      <c r="B52" s="180" t="s">
        <v>245</v>
      </c>
      <c r="C52" s="259"/>
      <c r="D52" s="259"/>
      <c r="E52" s="259"/>
      <c r="F52" s="259"/>
      <c r="G52" s="259"/>
      <c r="H52" s="259"/>
      <c r="I52" s="259"/>
      <c r="J52" s="259"/>
      <c r="K52" s="259"/>
      <c r="L52" s="259"/>
      <c r="M52" s="259"/>
      <c r="N52" s="259"/>
      <c r="O52" s="260" t="str">
        <f t="shared" si="6"/>
        <v/>
      </c>
      <c r="P52" s="239"/>
    </row>
    <row r="53" spans="1:16" ht="16" x14ac:dyDescent="0.2">
      <c r="A53" s="239"/>
      <c r="B53" s="180" t="s">
        <v>250</v>
      </c>
      <c r="C53" s="259"/>
      <c r="D53" s="259"/>
      <c r="E53" s="259"/>
      <c r="F53" s="259"/>
      <c r="G53" s="259"/>
      <c r="H53" s="259"/>
      <c r="I53" s="259"/>
      <c r="J53" s="259"/>
      <c r="K53" s="259"/>
      <c r="L53" s="259"/>
      <c r="M53" s="259"/>
      <c r="N53" s="259"/>
      <c r="O53" s="260" t="str">
        <f t="shared" si="6"/>
        <v/>
      </c>
      <c r="P53" s="239"/>
    </row>
    <row r="54" spans="1:16" ht="16" x14ac:dyDescent="0.2">
      <c r="A54" s="239"/>
      <c r="B54" s="180" t="s">
        <v>249</v>
      </c>
      <c r="C54" s="259"/>
      <c r="D54" s="259"/>
      <c r="E54" s="259"/>
      <c r="F54" s="259"/>
      <c r="G54" s="259"/>
      <c r="H54" s="259"/>
      <c r="I54" s="259"/>
      <c r="J54" s="259"/>
      <c r="K54" s="259"/>
      <c r="L54" s="259"/>
      <c r="M54" s="259"/>
      <c r="N54" s="259"/>
      <c r="O54" s="260" t="str">
        <f t="shared" si="6"/>
        <v/>
      </c>
      <c r="P54" s="239"/>
    </row>
    <row r="55" spans="1:16" ht="16" x14ac:dyDescent="0.2">
      <c r="A55" s="239"/>
      <c r="B55" s="262" t="s">
        <v>205</v>
      </c>
      <c r="C55" s="263">
        <f>IF(COUNTA(C43:C54)=0, "", SUM(C43:C54))</f>
        <v>1</v>
      </c>
      <c r="D55" s="263">
        <f t="shared" ref="D55:N55" si="7">IF(COUNTA(D43:D54)=0, "", SUM(D43:D54))</f>
        <v>1</v>
      </c>
      <c r="E55" s="263">
        <f t="shared" si="7"/>
        <v>1</v>
      </c>
      <c r="F55" s="263">
        <f t="shared" si="7"/>
        <v>1</v>
      </c>
      <c r="G55" s="263">
        <f t="shared" si="7"/>
        <v>1</v>
      </c>
      <c r="H55" s="263">
        <f t="shared" si="7"/>
        <v>1</v>
      </c>
      <c r="I55" s="263">
        <f t="shared" si="7"/>
        <v>1</v>
      </c>
      <c r="J55" s="263">
        <f t="shared" si="7"/>
        <v>1</v>
      </c>
      <c r="K55" s="263">
        <f t="shared" si="7"/>
        <v>1</v>
      </c>
      <c r="L55" s="263">
        <f t="shared" si="7"/>
        <v>1</v>
      </c>
      <c r="M55" s="263">
        <f t="shared" si="7"/>
        <v>1</v>
      </c>
      <c r="N55" s="263">
        <f t="shared" si="7"/>
        <v>1</v>
      </c>
      <c r="O55" s="252">
        <f t="shared" si="6"/>
        <v>12</v>
      </c>
      <c r="P55" s="239"/>
    </row>
    <row r="56" spans="1:16" ht="16" x14ac:dyDescent="0.2">
      <c r="A56" s="239"/>
      <c r="B56" s="264" t="s">
        <v>206</v>
      </c>
      <c r="C56" s="266">
        <f>IF(COUNTA(C55:N55)=0, "", SUM(C55:N55))</f>
        <v>12</v>
      </c>
      <c r="D56" s="255"/>
      <c r="E56" s="255"/>
      <c r="F56" s="255"/>
      <c r="G56" s="255"/>
      <c r="H56" s="255"/>
      <c r="I56" s="255"/>
      <c r="J56" s="255"/>
      <c r="K56" s="255"/>
      <c r="L56" s="255"/>
      <c r="M56" s="255"/>
      <c r="N56" s="255"/>
      <c r="O56" s="256"/>
      <c r="P56" s="239"/>
    </row>
    <row r="57" spans="1:16" ht="16" x14ac:dyDescent="0.2">
      <c r="A57" s="239"/>
      <c r="B57" s="257"/>
      <c r="C57" s="255"/>
      <c r="D57" s="255"/>
      <c r="E57" s="255"/>
      <c r="F57" s="255"/>
      <c r="G57" s="255"/>
      <c r="H57" s="255"/>
      <c r="I57" s="255"/>
      <c r="J57" s="255"/>
      <c r="K57" s="255"/>
      <c r="L57" s="255"/>
      <c r="M57" s="255"/>
      <c r="N57" s="255"/>
      <c r="O57" s="256"/>
      <c r="P57" s="239"/>
    </row>
    <row r="58" spans="1:16" ht="16" x14ac:dyDescent="0.2">
      <c r="A58" s="239"/>
      <c r="B58" s="243" t="s">
        <v>231</v>
      </c>
      <c r="C58" s="244" t="s">
        <v>191</v>
      </c>
      <c r="D58" s="244" t="s">
        <v>192</v>
      </c>
      <c r="E58" s="244" t="s">
        <v>193</v>
      </c>
      <c r="F58" s="244" t="s">
        <v>194</v>
      </c>
      <c r="G58" s="244" t="s">
        <v>195</v>
      </c>
      <c r="H58" s="244" t="s">
        <v>196</v>
      </c>
      <c r="I58" s="244" t="s">
        <v>197</v>
      </c>
      <c r="J58" s="244" t="s">
        <v>198</v>
      </c>
      <c r="K58" s="244" t="s">
        <v>199</v>
      </c>
      <c r="L58" s="244" t="s">
        <v>200</v>
      </c>
      <c r="M58" s="244" t="s">
        <v>201</v>
      </c>
      <c r="N58" s="244" t="s">
        <v>202</v>
      </c>
      <c r="O58" s="245" t="s">
        <v>204</v>
      </c>
      <c r="P58" s="239"/>
    </row>
    <row r="59" spans="1:16" ht="16" x14ac:dyDescent="0.2">
      <c r="A59" s="239"/>
      <c r="B59" s="180" t="s">
        <v>238</v>
      </c>
      <c r="C59" s="259"/>
      <c r="D59" s="259"/>
      <c r="E59" s="259"/>
      <c r="F59" s="259"/>
      <c r="G59" s="259"/>
      <c r="H59" s="259"/>
      <c r="I59" s="259"/>
      <c r="J59" s="259"/>
      <c r="K59" s="259"/>
      <c r="L59" s="259"/>
      <c r="M59" s="259"/>
      <c r="N59" s="259"/>
      <c r="O59" s="260" t="str">
        <f>IF(COUNTA(C59:N59)=0, "", SUM(C59:N59))</f>
        <v/>
      </c>
      <c r="P59" s="239"/>
    </row>
    <row r="60" spans="1:16" ht="16" x14ac:dyDescent="0.2">
      <c r="A60" s="239"/>
      <c r="B60" s="180" t="s">
        <v>234</v>
      </c>
      <c r="C60" s="259"/>
      <c r="D60" s="259"/>
      <c r="E60" s="259"/>
      <c r="F60" s="259"/>
      <c r="G60" s="259"/>
      <c r="H60" s="259"/>
      <c r="I60" s="259"/>
      <c r="J60" s="259"/>
      <c r="K60" s="259"/>
      <c r="L60" s="259"/>
      <c r="M60" s="259"/>
      <c r="N60" s="259"/>
      <c r="O60" s="260" t="str">
        <f t="shared" ref="O60:O64" si="8">IF(COUNTA(C60:N60)=0, "", SUM(C60:N60))</f>
        <v/>
      </c>
      <c r="P60" s="239"/>
    </row>
    <row r="61" spans="1:16" ht="16" x14ac:dyDescent="0.2">
      <c r="A61" s="239"/>
      <c r="B61" s="180" t="s">
        <v>232</v>
      </c>
      <c r="C61" s="259"/>
      <c r="D61" s="259"/>
      <c r="E61" s="259"/>
      <c r="F61" s="259"/>
      <c r="G61" s="259"/>
      <c r="H61" s="259"/>
      <c r="I61" s="259"/>
      <c r="J61" s="259"/>
      <c r="K61" s="259"/>
      <c r="L61" s="259"/>
      <c r="M61" s="259"/>
      <c r="N61" s="259"/>
      <c r="O61" s="260" t="str">
        <f t="shared" si="8"/>
        <v/>
      </c>
      <c r="P61" s="239"/>
    </row>
    <row r="62" spans="1:16" ht="16" x14ac:dyDescent="0.2">
      <c r="A62" s="239"/>
      <c r="B62" s="180" t="s">
        <v>233</v>
      </c>
      <c r="C62" s="259">
        <v>1</v>
      </c>
      <c r="D62" s="259">
        <v>1</v>
      </c>
      <c r="E62" s="259">
        <v>1</v>
      </c>
      <c r="F62" s="259">
        <v>1</v>
      </c>
      <c r="G62" s="259">
        <v>1</v>
      </c>
      <c r="H62" s="259">
        <v>1</v>
      </c>
      <c r="I62" s="259">
        <v>1</v>
      </c>
      <c r="J62" s="259">
        <v>1</v>
      </c>
      <c r="K62" s="259">
        <v>1</v>
      </c>
      <c r="L62" s="259">
        <v>1</v>
      </c>
      <c r="M62" s="259">
        <v>1</v>
      </c>
      <c r="N62" s="259">
        <v>1</v>
      </c>
      <c r="O62" s="260">
        <f t="shared" si="8"/>
        <v>12</v>
      </c>
      <c r="P62" s="239"/>
    </row>
    <row r="63" spans="1:16" ht="16" x14ac:dyDescent="0.2">
      <c r="A63" s="239"/>
      <c r="B63" s="180" t="s">
        <v>235</v>
      </c>
      <c r="C63" s="259"/>
      <c r="D63" s="259"/>
      <c r="E63" s="259"/>
      <c r="F63" s="259"/>
      <c r="G63" s="259"/>
      <c r="H63" s="259"/>
      <c r="I63" s="259"/>
      <c r="J63" s="259"/>
      <c r="K63" s="259"/>
      <c r="L63" s="259"/>
      <c r="M63" s="259"/>
      <c r="N63" s="259"/>
      <c r="O63" s="260" t="str">
        <f t="shared" si="8"/>
        <v/>
      </c>
      <c r="P63" s="239"/>
    </row>
    <row r="64" spans="1:16" ht="16" x14ac:dyDescent="0.2">
      <c r="A64" s="239"/>
      <c r="B64" s="180" t="s">
        <v>236</v>
      </c>
      <c r="C64" s="259"/>
      <c r="D64" s="259"/>
      <c r="E64" s="259"/>
      <c r="F64" s="259"/>
      <c r="G64" s="259"/>
      <c r="H64" s="259"/>
      <c r="I64" s="259"/>
      <c r="J64" s="259"/>
      <c r="K64" s="259"/>
      <c r="L64" s="259"/>
      <c r="M64" s="259"/>
      <c r="N64" s="259"/>
      <c r="O64" s="260" t="str">
        <f t="shared" si="8"/>
        <v/>
      </c>
      <c r="P64" s="239"/>
    </row>
    <row r="65" spans="1:16" ht="16" x14ac:dyDescent="0.2">
      <c r="A65" s="239"/>
      <c r="B65" s="262" t="s">
        <v>205</v>
      </c>
      <c r="C65" s="263">
        <f>IF(COUNTA(C59:C64)=0, "", SUM(C59:C64))</f>
        <v>1</v>
      </c>
      <c r="D65" s="263">
        <f t="shared" ref="D65:N65" si="9">IF(COUNTA(D59:D64)=0, "", SUM(D59:D64))</f>
        <v>1</v>
      </c>
      <c r="E65" s="263">
        <f t="shared" si="9"/>
        <v>1</v>
      </c>
      <c r="F65" s="263">
        <f t="shared" si="9"/>
        <v>1</v>
      </c>
      <c r="G65" s="263">
        <f t="shared" si="9"/>
        <v>1</v>
      </c>
      <c r="H65" s="263">
        <f t="shared" si="9"/>
        <v>1</v>
      </c>
      <c r="I65" s="263">
        <f t="shared" si="9"/>
        <v>1</v>
      </c>
      <c r="J65" s="263">
        <f t="shared" si="9"/>
        <v>1</v>
      </c>
      <c r="K65" s="263">
        <f t="shared" si="9"/>
        <v>1</v>
      </c>
      <c r="L65" s="263">
        <f t="shared" si="9"/>
        <v>1</v>
      </c>
      <c r="M65" s="263">
        <f t="shared" si="9"/>
        <v>1</v>
      </c>
      <c r="N65" s="263">
        <f t="shared" si="9"/>
        <v>1</v>
      </c>
      <c r="O65" s="252">
        <f>IF(COUNTA(O59:O64)=0,"",SUM(O59:O64))</f>
        <v>12</v>
      </c>
      <c r="P65" s="239"/>
    </row>
    <row r="66" spans="1:16" ht="16" x14ac:dyDescent="0.2">
      <c r="A66" s="239"/>
      <c r="B66" s="264" t="s">
        <v>206</v>
      </c>
      <c r="C66" s="268">
        <f>IF(COUNTA(C65:N65)=0, "", SUM(C65:N65))</f>
        <v>12</v>
      </c>
      <c r="D66" s="255"/>
      <c r="E66" s="255"/>
      <c r="F66" s="255"/>
      <c r="G66" s="255"/>
      <c r="H66" s="255"/>
      <c r="I66" s="255"/>
      <c r="J66" s="255"/>
      <c r="K66" s="255"/>
      <c r="L66" s="255"/>
      <c r="M66" s="255"/>
      <c r="N66" s="255"/>
      <c r="O66" s="256"/>
      <c r="P66" s="239"/>
    </row>
    <row r="67" spans="1:16" ht="16" x14ac:dyDescent="0.2">
      <c r="A67" s="239"/>
      <c r="B67" s="257"/>
      <c r="C67" s="255"/>
      <c r="D67" s="255"/>
      <c r="E67" s="255"/>
      <c r="F67" s="255"/>
      <c r="G67" s="255"/>
      <c r="H67" s="255"/>
      <c r="I67" s="255"/>
      <c r="J67" s="255"/>
      <c r="K67" s="255"/>
      <c r="L67" s="255"/>
      <c r="M67" s="255"/>
      <c r="N67" s="255"/>
      <c r="O67" s="256"/>
      <c r="P67" s="239"/>
    </row>
    <row r="68" spans="1:16" ht="16" x14ac:dyDescent="0.2">
      <c r="A68" s="239"/>
      <c r="B68" s="243" t="s">
        <v>62</v>
      </c>
      <c r="C68" s="244" t="s">
        <v>191</v>
      </c>
      <c r="D68" s="244" t="s">
        <v>192</v>
      </c>
      <c r="E68" s="244" t="s">
        <v>193</v>
      </c>
      <c r="F68" s="244" t="s">
        <v>194</v>
      </c>
      <c r="G68" s="244" t="s">
        <v>195</v>
      </c>
      <c r="H68" s="244" t="s">
        <v>196</v>
      </c>
      <c r="I68" s="244" t="s">
        <v>197</v>
      </c>
      <c r="J68" s="244" t="s">
        <v>198</v>
      </c>
      <c r="K68" s="244" t="s">
        <v>199</v>
      </c>
      <c r="L68" s="244" t="s">
        <v>200</v>
      </c>
      <c r="M68" s="244" t="s">
        <v>201</v>
      </c>
      <c r="N68" s="244" t="s">
        <v>202</v>
      </c>
      <c r="O68" s="245" t="s">
        <v>204</v>
      </c>
      <c r="P68" s="239"/>
    </row>
    <row r="69" spans="1:16" ht="16" x14ac:dyDescent="0.2">
      <c r="A69" s="239"/>
      <c r="B69" s="180" t="s">
        <v>65</v>
      </c>
      <c r="C69" s="259"/>
      <c r="D69" s="259"/>
      <c r="E69" s="259"/>
      <c r="F69" s="259"/>
      <c r="G69" s="259"/>
      <c r="H69" s="259"/>
      <c r="I69" s="259"/>
      <c r="J69" s="259"/>
      <c r="K69" s="259"/>
      <c r="L69" s="259"/>
      <c r="M69" s="259"/>
      <c r="N69" s="259"/>
      <c r="O69" s="260" t="str">
        <f>IF(COUNTA(C69:N69)=0, "", SUM(C69:N69))</f>
        <v/>
      </c>
      <c r="P69" s="239"/>
    </row>
    <row r="70" spans="1:16" ht="16" x14ac:dyDescent="0.2">
      <c r="A70" s="239"/>
      <c r="B70" s="180" t="s">
        <v>214</v>
      </c>
      <c r="C70" s="259"/>
      <c r="D70" s="259"/>
      <c r="E70" s="259"/>
      <c r="F70" s="259"/>
      <c r="G70" s="259"/>
      <c r="H70" s="259"/>
      <c r="I70" s="259"/>
      <c r="J70" s="259"/>
      <c r="K70" s="259"/>
      <c r="L70" s="259"/>
      <c r="M70" s="259"/>
      <c r="N70" s="259"/>
      <c r="O70" s="260" t="str">
        <f t="shared" ref="O70:O78" si="10">IF(COUNTA(C70:N70)=0, "", SUM(C70:N70))</f>
        <v/>
      </c>
      <c r="P70" s="239"/>
    </row>
    <row r="71" spans="1:16" ht="16" x14ac:dyDescent="0.2">
      <c r="A71" s="239"/>
      <c r="B71" s="180" t="s">
        <v>66</v>
      </c>
      <c r="C71" s="259"/>
      <c r="D71" s="259"/>
      <c r="E71" s="259"/>
      <c r="F71" s="259"/>
      <c r="G71" s="259"/>
      <c r="H71" s="259"/>
      <c r="I71" s="259"/>
      <c r="J71" s="259"/>
      <c r="K71" s="259"/>
      <c r="L71" s="259"/>
      <c r="M71" s="259"/>
      <c r="N71" s="259"/>
      <c r="O71" s="260" t="str">
        <f t="shared" si="10"/>
        <v/>
      </c>
      <c r="P71" s="239"/>
    </row>
    <row r="72" spans="1:16" ht="16" x14ac:dyDescent="0.2">
      <c r="A72" s="239"/>
      <c r="B72" s="180" t="s">
        <v>67</v>
      </c>
      <c r="C72" s="259"/>
      <c r="D72" s="259"/>
      <c r="E72" s="259"/>
      <c r="F72" s="259"/>
      <c r="G72" s="259"/>
      <c r="H72" s="259"/>
      <c r="I72" s="259"/>
      <c r="J72" s="259"/>
      <c r="K72" s="259"/>
      <c r="L72" s="259"/>
      <c r="M72" s="259"/>
      <c r="N72" s="259"/>
      <c r="O72" s="260" t="str">
        <f t="shared" si="10"/>
        <v/>
      </c>
      <c r="P72" s="239"/>
    </row>
    <row r="73" spans="1:16" ht="16" x14ac:dyDescent="0.2">
      <c r="A73" s="239"/>
      <c r="B73" s="180" t="s">
        <v>219</v>
      </c>
      <c r="C73" s="259">
        <v>1</v>
      </c>
      <c r="D73" s="259">
        <v>1</v>
      </c>
      <c r="E73" s="259">
        <v>1</v>
      </c>
      <c r="F73" s="259">
        <v>1</v>
      </c>
      <c r="G73" s="259">
        <v>1</v>
      </c>
      <c r="H73" s="259">
        <v>1</v>
      </c>
      <c r="I73" s="259">
        <v>1</v>
      </c>
      <c r="J73" s="259">
        <v>1</v>
      </c>
      <c r="K73" s="259">
        <v>1</v>
      </c>
      <c r="L73" s="259">
        <v>1</v>
      </c>
      <c r="M73" s="259">
        <v>1</v>
      </c>
      <c r="N73" s="259">
        <v>1</v>
      </c>
      <c r="O73" s="260">
        <f t="shared" si="10"/>
        <v>12</v>
      </c>
      <c r="P73" s="239"/>
    </row>
    <row r="74" spans="1:16" ht="16" x14ac:dyDescent="0.2">
      <c r="A74" s="239"/>
      <c r="B74" s="180" t="s">
        <v>246</v>
      </c>
      <c r="C74" s="259"/>
      <c r="D74" s="259"/>
      <c r="E74" s="259"/>
      <c r="F74" s="259"/>
      <c r="G74" s="259"/>
      <c r="H74" s="259"/>
      <c r="I74" s="259"/>
      <c r="J74" s="259"/>
      <c r="K74" s="259"/>
      <c r="L74" s="259"/>
      <c r="M74" s="259"/>
      <c r="N74" s="259"/>
      <c r="O74" s="260" t="str">
        <f t="shared" si="10"/>
        <v/>
      </c>
      <c r="P74" s="239"/>
    </row>
    <row r="75" spans="1:16" ht="16" x14ac:dyDescent="0.2">
      <c r="A75" s="239"/>
      <c r="B75" s="180" t="s">
        <v>212</v>
      </c>
      <c r="C75" s="259"/>
      <c r="D75" s="259"/>
      <c r="E75" s="259"/>
      <c r="F75" s="259"/>
      <c r="G75" s="259"/>
      <c r="H75" s="259"/>
      <c r="I75" s="259"/>
      <c r="J75" s="259"/>
      <c r="K75" s="259"/>
      <c r="L75" s="259"/>
      <c r="M75" s="259"/>
      <c r="N75" s="259"/>
      <c r="O75" s="260" t="str">
        <f t="shared" si="10"/>
        <v/>
      </c>
      <c r="P75" s="239"/>
    </row>
    <row r="76" spans="1:16" ht="16" x14ac:dyDescent="0.2">
      <c r="A76" s="239"/>
      <c r="B76" s="180" t="s">
        <v>247</v>
      </c>
      <c r="C76" s="259"/>
      <c r="D76" s="259"/>
      <c r="E76" s="259"/>
      <c r="F76" s="259"/>
      <c r="G76" s="259"/>
      <c r="H76" s="259"/>
      <c r="I76" s="259"/>
      <c r="J76" s="259"/>
      <c r="K76" s="259"/>
      <c r="L76" s="259"/>
      <c r="M76" s="259"/>
      <c r="N76" s="259"/>
      <c r="O76" s="260" t="str">
        <f t="shared" si="10"/>
        <v/>
      </c>
      <c r="P76" s="239"/>
    </row>
    <row r="77" spans="1:16" ht="16" x14ac:dyDescent="0.2">
      <c r="A77" s="239"/>
      <c r="B77" s="180" t="s">
        <v>213</v>
      </c>
      <c r="C77" s="259"/>
      <c r="D77" s="259"/>
      <c r="E77" s="259"/>
      <c r="F77" s="259"/>
      <c r="G77" s="259"/>
      <c r="H77" s="259"/>
      <c r="I77" s="259"/>
      <c r="J77" s="259"/>
      <c r="K77" s="259"/>
      <c r="L77" s="259"/>
      <c r="M77" s="259"/>
      <c r="N77" s="259"/>
      <c r="O77" s="260" t="str">
        <f t="shared" si="10"/>
        <v/>
      </c>
      <c r="P77" s="239"/>
    </row>
    <row r="78" spans="1:16" ht="16" x14ac:dyDescent="0.2">
      <c r="A78" s="239"/>
      <c r="B78" s="262" t="s">
        <v>205</v>
      </c>
      <c r="C78" s="263">
        <f>IF(COUNTA(C69:C77)=0, "", SUM(C69:C77))</f>
        <v>1</v>
      </c>
      <c r="D78" s="263">
        <f t="shared" ref="D78:N78" si="11">IF(COUNTA(D69:D77)=0, "", SUM(D69:D77))</f>
        <v>1</v>
      </c>
      <c r="E78" s="263">
        <f t="shared" si="11"/>
        <v>1</v>
      </c>
      <c r="F78" s="263">
        <f t="shared" si="11"/>
        <v>1</v>
      </c>
      <c r="G78" s="263">
        <f t="shared" si="11"/>
        <v>1</v>
      </c>
      <c r="H78" s="263">
        <f t="shared" si="11"/>
        <v>1</v>
      </c>
      <c r="I78" s="263">
        <f t="shared" si="11"/>
        <v>1</v>
      </c>
      <c r="J78" s="263">
        <f t="shared" si="11"/>
        <v>1</v>
      </c>
      <c r="K78" s="263">
        <f t="shared" si="11"/>
        <v>1</v>
      </c>
      <c r="L78" s="263">
        <f t="shared" si="11"/>
        <v>1</v>
      </c>
      <c r="M78" s="263">
        <f t="shared" si="11"/>
        <v>1</v>
      </c>
      <c r="N78" s="263">
        <f t="shared" si="11"/>
        <v>1</v>
      </c>
      <c r="O78" s="252">
        <f t="shared" si="10"/>
        <v>12</v>
      </c>
      <c r="P78" s="239"/>
    </row>
    <row r="79" spans="1:16" ht="16" x14ac:dyDescent="0.2">
      <c r="A79" s="239"/>
      <c r="B79" s="264" t="s">
        <v>206</v>
      </c>
      <c r="C79" s="268">
        <f>IF(COUNTA(C78:N78)=0, "", SUM(C78:N78))</f>
        <v>12</v>
      </c>
      <c r="D79" s="255"/>
      <c r="E79" s="255"/>
      <c r="F79" s="255"/>
      <c r="G79" s="255"/>
      <c r="H79" s="255"/>
      <c r="I79" s="255"/>
      <c r="J79" s="255"/>
      <c r="K79" s="255"/>
      <c r="L79" s="255"/>
      <c r="M79" s="255"/>
      <c r="N79" s="255"/>
      <c r="O79" s="256"/>
      <c r="P79" s="239"/>
    </row>
    <row r="80" spans="1:16" ht="16" x14ac:dyDescent="0.2">
      <c r="A80" s="239"/>
      <c r="B80" s="257"/>
      <c r="C80" s="255"/>
      <c r="D80" s="255"/>
      <c r="E80" s="255"/>
      <c r="F80" s="255"/>
      <c r="G80" s="255"/>
      <c r="H80" s="255"/>
      <c r="I80" s="255"/>
      <c r="J80" s="255"/>
      <c r="K80" s="255"/>
      <c r="L80" s="255"/>
      <c r="M80" s="255"/>
      <c r="N80" s="255"/>
      <c r="O80" s="256"/>
      <c r="P80" s="239"/>
    </row>
    <row r="81" spans="1:16" ht="16" x14ac:dyDescent="0.2">
      <c r="A81" s="239"/>
      <c r="B81" s="243" t="s">
        <v>248</v>
      </c>
      <c r="C81" s="244" t="s">
        <v>191</v>
      </c>
      <c r="D81" s="244" t="s">
        <v>192</v>
      </c>
      <c r="E81" s="244" t="s">
        <v>193</v>
      </c>
      <c r="F81" s="244" t="s">
        <v>194</v>
      </c>
      <c r="G81" s="244" t="s">
        <v>195</v>
      </c>
      <c r="H81" s="244" t="s">
        <v>196</v>
      </c>
      <c r="I81" s="244" t="s">
        <v>197</v>
      </c>
      <c r="J81" s="244" t="s">
        <v>198</v>
      </c>
      <c r="K81" s="244" t="s">
        <v>199</v>
      </c>
      <c r="L81" s="244" t="s">
        <v>200</v>
      </c>
      <c r="M81" s="244" t="s">
        <v>201</v>
      </c>
      <c r="N81" s="244" t="s">
        <v>202</v>
      </c>
      <c r="O81" s="245" t="s">
        <v>204</v>
      </c>
      <c r="P81" s="239"/>
    </row>
    <row r="82" spans="1:16" ht="16" x14ac:dyDescent="0.2">
      <c r="A82" s="239"/>
      <c r="B82" s="180" t="s">
        <v>257</v>
      </c>
      <c r="C82" s="259"/>
      <c r="D82" s="259"/>
      <c r="E82" s="259"/>
      <c r="F82" s="259"/>
      <c r="G82" s="259"/>
      <c r="H82" s="259"/>
      <c r="I82" s="259"/>
      <c r="J82" s="259"/>
      <c r="K82" s="259"/>
      <c r="L82" s="259"/>
      <c r="M82" s="259"/>
      <c r="N82" s="259"/>
      <c r="O82" s="260" t="str">
        <f>IF(COUNTA(C82:N82)=0, "", SUM(C82:N82))</f>
        <v/>
      </c>
      <c r="P82" s="239"/>
    </row>
    <row r="83" spans="1:16" ht="16" x14ac:dyDescent="0.2">
      <c r="A83" s="239"/>
      <c r="B83" s="180" t="s">
        <v>251</v>
      </c>
      <c r="C83" s="259"/>
      <c r="D83" s="259"/>
      <c r="E83" s="259"/>
      <c r="F83" s="259"/>
      <c r="G83" s="259"/>
      <c r="H83" s="259"/>
      <c r="I83" s="259"/>
      <c r="J83" s="259"/>
      <c r="K83" s="259"/>
      <c r="L83" s="259"/>
      <c r="M83" s="259"/>
      <c r="N83" s="259"/>
      <c r="O83" s="260" t="str">
        <f t="shared" ref="O83:O91" si="12">IF(COUNTA(C83:N83)=0, "", SUM(C83:N83))</f>
        <v/>
      </c>
      <c r="P83" s="239"/>
    </row>
    <row r="84" spans="1:16" ht="16" x14ac:dyDescent="0.2">
      <c r="A84" s="239"/>
      <c r="B84" s="180" t="s">
        <v>252</v>
      </c>
      <c r="C84" s="259"/>
      <c r="D84" s="259"/>
      <c r="E84" s="259"/>
      <c r="F84" s="259"/>
      <c r="G84" s="259"/>
      <c r="H84" s="259"/>
      <c r="I84" s="259"/>
      <c r="J84" s="259"/>
      <c r="K84" s="259"/>
      <c r="L84" s="259"/>
      <c r="M84" s="259"/>
      <c r="N84" s="259"/>
      <c r="O84" s="260" t="str">
        <f t="shared" si="12"/>
        <v/>
      </c>
      <c r="P84" s="239"/>
    </row>
    <row r="85" spans="1:16" ht="16" x14ac:dyDescent="0.2">
      <c r="A85" s="239"/>
      <c r="B85" s="180" t="s">
        <v>253</v>
      </c>
      <c r="C85" s="259"/>
      <c r="D85" s="259"/>
      <c r="E85" s="259"/>
      <c r="F85" s="259"/>
      <c r="G85" s="259"/>
      <c r="H85" s="259"/>
      <c r="I85" s="259"/>
      <c r="J85" s="259"/>
      <c r="K85" s="259"/>
      <c r="L85" s="259"/>
      <c r="M85" s="259"/>
      <c r="N85" s="259"/>
      <c r="O85" s="260" t="str">
        <f t="shared" si="12"/>
        <v/>
      </c>
      <c r="P85" s="239"/>
    </row>
    <row r="86" spans="1:16" ht="16" x14ac:dyDescent="0.2">
      <c r="A86" s="239"/>
      <c r="B86" s="180" t="s">
        <v>254</v>
      </c>
      <c r="C86" s="259"/>
      <c r="D86" s="259"/>
      <c r="E86" s="259"/>
      <c r="F86" s="259"/>
      <c r="G86" s="259"/>
      <c r="H86" s="259"/>
      <c r="I86" s="259"/>
      <c r="J86" s="259"/>
      <c r="K86" s="259"/>
      <c r="L86" s="259"/>
      <c r="M86" s="259"/>
      <c r="N86" s="259"/>
      <c r="O86" s="260" t="str">
        <f t="shared" si="12"/>
        <v/>
      </c>
      <c r="P86" s="239"/>
    </row>
    <row r="87" spans="1:16" ht="16" x14ac:dyDescent="0.2">
      <c r="A87" s="239"/>
      <c r="B87" s="180" t="s">
        <v>255</v>
      </c>
      <c r="C87" s="259">
        <v>1</v>
      </c>
      <c r="D87" s="259">
        <v>1</v>
      </c>
      <c r="E87" s="259">
        <v>1</v>
      </c>
      <c r="F87" s="259">
        <v>1</v>
      </c>
      <c r="G87" s="259">
        <v>1</v>
      </c>
      <c r="H87" s="259">
        <v>1</v>
      </c>
      <c r="I87" s="259">
        <v>1</v>
      </c>
      <c r="J87" s="259">
        <v>1</v>
      </c>
      <c r="K87" s="259">
        <v>1</v>
      </c>
      <c r="L87" s="259">
        <v>1</v>
      </c>
      <c r="M87" s="259">
        <v>1</v>
      </c>
      <c r="N87" s="259">
        <v>1</v>
      </c>
      <c r="O87" s="260">
        <f t="shared" si="12"/>
        <v>12</v>
      </c>
      <c r="P87" s="239"/>
    </row>
    <row r="88" spans="1:16" ht="16" x14ac:dyDescent="0.2">
      <c r="A88" s="239"/>
      <c r="B88" s="180" t="s">
        <v>256</v>
      </c>
      <c r="C88" s="259"/>
      <c r="D88" s="259"/>
      <c r="E88" s="259"/>
      <c r="F88" s="259"/>
      <c r="G88" s="259"/>
      <c r="H88" s="259"/>
      <c r="I88" s="259"/>
      <c r="J88" s="259"/>
      <c r="K88" s="259"/>
      <c r="L88" s="259"/>
      <c r="M88" s="259"/>
      <c r="N88" s="259"/>
      <c r="O88" s="260" t="str">
        <f t="shared" si="12"/>
        <v/>
      </c>
      <c r="P88" s="239"/>
    </row>
    <row r="89" spans="1:16" ht="16" x14ac:dyDescent="0.2">
      <c r="A89" s="239"/>
      <c r="B89" s="180" t="s">
        <v>258</v>
      </c>
      <c r="C89" s="259"/>
      <c r="D89" s="259"/>
      <c r="E89" s="259"/>
      <c r="F89" s="259"/>
      <c r="G89" s="259"/>
      <c r="H89" s="259"/>
      <c r="I89" s="259"/>
      <c r="J89" s="259"/>
      <c r="K89" s="259"/>
      <c r="L89" s="259"/>
      <c r="M89" s="259"/>
      <c r="N89" s="259"/>
      <c r="O89" s="260" t="str">
        <f t="shared" si="12"/>
        <v/>
      </c>
      <c r="P89" s="239"/>
    </row>
    <row r="90" spans="1:16" ht="16" x14ac:dyDescent="0.2">
      <c r="A90" s="239"/>
      <c r="B90" s="180" t="s">
        <v>259</v>
      </c>
      <c r="C90" s="259"/>
      <c r="D90" s="259"/>
      <c r="E90" s="259"/>
      <c r="F90" s="259"/>
      <c r="G90" s="259"/>
      <c r="H90" s="259"/>
      <c r="I90" s="259"/>
      <c r="J90" s="259"/>
      <c r="K90" s="259"/>
      <c r="L90" s="259"/>
      <c r="M90" s="259"/>
      <c r="N90" s="259"/>
      <c r="O90" s="260" t="str">
        <f t="shared" si="12"/>
        <v/>
      </c>
      <c r="P90" s="239"/>
    </row>
    <row r="91" spans="1:16" ht="16" x14ac:dyDescent="0.2">
      <c r="A91" s="239"/>
      <c r="B91" s="262" t="s">
        <v>205</v>
      </c>
      <c r="C91" s="263">
        <f>IF(COUNTA(C82:C90)=0, "", SUM(C82:C90))</f>
        <v>1</v>
      </c>
      <c r="D91" s="263">
        <f t="shared" ref="D91:N91" si="13">IF(COUNTA(D82:D90)=0, "", SUM(D82:D90))</f>
        <v>1</v>
      </c>
      <c r="E91" s="263">
        <f t="shared" si="13"/>
        <v>1</v>
      </c>
      <c r="F91" s="263">
        <f t="shared" si="13"/>
        <v>1</v>
      </c>
      <c r="G91" s="263">
        <f t="shared" si="13"/>
        <v>1</v>
      </c>
      <c r="H91" s="263">
        <f t="shared" si="13"/>
        <v>1</v>
      </c>
      <c r="I91" s="263">
        <f t="shared" si="13"/>
        <v>1</v>
      </c>
      <c r="J91" s="263">
        <f t="shared" si="13"/>
        <v>1</v>
      </c>
      <c r="K91" s="263">
        <f t="shared" si="13"/>
        <v>1</v>
      </c>
      <c r="L91" s="263">
        <f t="shared" si="13"/>
        <v>1</v>
      </c>
      <c r="M91" s="263">
        <f t="shared" si="13"/>
        <v>1</v>
      </c>
      <c r="N91" s="263">
        <f t="shared" si="13"/>
        <v>1</v>
      </c>
      <c r="O91" s="252">
        <f t="shared" si="12"/>
        <v>12</v>
      </c>
      <c r="P91" s="239"/>
    </row>
    <row r="92" spans="1:16" ht="16" x14ac:dyDescent="0.2">
      <c r="A92" s="239"/>
      <c r="B92" s="264" t="s">
        <v>206</v>
      </c>
      <c r="C92" s="268">
        <f>IF(COUNTA(C91:N91)=0, "", SUM(C91:N91))</f>
        <v>12</v>
      </c>
      <c r="D92" s="255"/>
      <c r="E92" s="255"/>
      <c r="F92" s="255"/>
      <c r="G92" s="255"/>
      <c r="H92" s="255"/>
      <c r="I92" s="255"/>
      <c r="J92" s="255"/>
      <c r="K92" s="255"/>
      <c r="L92" s="255"/>
      <c r="M92" s="255"/>
      <c r="N92" s="255"/>
      <c r="O92" s="256"/>
      <c r="P92" s="239"/>
    </row>
    <row r="93" spans="1:16" ht="16" x14ac:dyDescent="0.2">
      <c r="A93" s="239"/>
      <c r="B93" s="257"/>
      <c r="C93" s="255"/>
      <c r="D93" s="255"/>
      <c r="E93" s="255"/>
      <c r="F93" s="255"/>
      <c r="G93" s="255"/>
      <c r="H93" s="255"/>
      <c r="I93" s="255"/>
      <c r="J93" s="255"/>
      <c r="K93" s="255"/>
      <c r="L93" s="255"/>
      <c r="M93" s="255"/>
      <c r="N93" s="255"/>
      <c r="O93" s="256"/>
      <c r="P93" s="239"/>
    </row>
    <row r="94" spans="1:16" ht="19" customHeight="1" x14ac:dyDescent="0.2">
      <c r="A94" s="239"/>
      <c r="B94" s="243" t="s">
        <v>260</v>
      </c>
      <c r="C94" s="244" t="s">
        <v>191</v>
      </c>
      <c r="D94" s="244" t="s">
        <v>192</v>
      </c>
      <c r="E94" s="244" t="s">
        <v>193</v>
      </c>
      <c r="F94" s="244" t="s">
        <v>194</v>
      </c>
      <c r="G94" s="244" t="s">
        <v>195</v>
      </c>
      <c r="H94" s="244" t="s">
        <v>196</v>
      </c>
      <c r="I94" s="244" t="s">
        <v>197</v>
      </c>
      <c r="J94" s="244" t="s">
        <v>198</v>
      </c>
      <c r="K94" s="244" t="s">
        <v>199</v>
      </c>
      <c r="L94" s="244" t="s">
        <v>200</v>
      </c>
      <c r="M94" s="244" t="s">
        <v>201</v>
      </c>
      <c r="N94" s="244" t="s">
        <v>202</v>
      </c>
      <c r="O94" s="245" t="s">
        <v>204</v>
      </c>
      <c r="P94" s="239"/>
    </row>
    <row r="95" spans="1:16" ht="16" x14ac:dyDescent="0.2">
      <c r="A95" s="239"/>
      <c r="B95" s="180" t="s">
        <v>66</v>
      </c>
      <c r="C95" s="259"/>
      <c r="D95" s="259"/>
      <c r="E95" s="259"/>
      <c r="F95" s="259"/>
      <c r="G95" s="259"/>
      <c r="H95" s="259"/>
      <c r="I95" s="259"/>
      <c r="J95" s="259"/>
      <c r="K95" s="259"/>
      <c r="L95" s="259"/>
      <c r="M95" s="259"/>
      <c r="N95" s="259"/>
      <c r="O95" s="260" t="str">
        <f>IF(COUNTA(C95:N95)=0, "", SUM(C95:N95))</f>
        <v/>
      </c>
      <c r="P95" s="239"/>
    </row>
    <row r="96" spans="1:16" ht="16" x14ac:dyDescent="0.2">
      <c r="A96" s="239"/>
      <c r="B96" s="180" t="s">
        <v>220</v>
      </c>
      <c r="C96" s="259"/>
      <c r="D96" s="259"/>
      <c r="E96" s="259"/>
      <c r="F96" s="259"/>
      <c r="G96" s="259"/>
      <c r="H96" s="259"/>
      <c r="I96" s="259"/>
      <c r="J96" s="259"/>
      <c r="K96" s="259"/>
      <c r="L96" s="259"/>
      <c r="M96" s="259"/>
      <c r="N96" s="259"/>
      <c r="O96" s="260" t="str">
        <f t="shared" ref="O96:O103" si="14">IF(COUNTA(C96:N96)=0, "", SUM(C96:N96))</f>
        <v/>
      </c>
      <c r="P96" s="239"/>
    </row>
    <row r="97" spans="1:16" ht="16" x14ac:dyDescent="0.2">
      <c r="A97" s="239"/>
      <c r="B97" s="180" t="s">
        <v>261</v>
      </c>
      <c r="C97" s="259"/>
      <c r="D97" s="259"/>
      <c r="E97" s="259"/>
      <c r="F97" s="259"/>
      <c r="G97" s="259"/>
      <c r="H97" s="259"/>
      <c r="I97" s="259"/>
      <c r="J97" s="259"/>
      <c r="K97" s="259"/>
      <c r="L97" s="259"/>
      <c r="M97" s="259"/>
      <c r="N97" s="259"/>
      <c r="O97" s="260" t="str">
        <f t="shared" si="14"/>
        <v/>
      </c>
      <c r="P97" s="239"/>
    </row>
    <row r="98" spans="1:16" ht="16" x14ac:dyDescent="0.2">
      <c r="A98" s="239"/>
      <c r="B98" s="180" t="s">
        <v>262</v>
      </c>
      <c r="C98" s="259"/>
      <c r="D98" s="259"/>
      <c r="E98" s="259"/>
      <c r="F98" s="259"/>
      <c r="G98" s="259"/>
      <c r="H98" s="259"/>
      <c r="I98" s="259"/>
      <c r="J98" s="259"/>
      <c r="K98" s="259"/>
      <c r="L98" s="259"/>
      <c r="M98" s="259"/>
      <c r="N98" s="259"/>
      <c r="O98" s="260" t="str">
        <f t="shared" si="14"/>
        <v/>
      </c>
      <c r="P98" s="239"/>
    </row>
    <row r="99" spans="1:16" ht="16" x14ac:dyDescent="0.2">
      <c r="A99" s="239"/>
      <c r="B99" s="180" t="s">
        <v>264</v>
      </c>
      <c r="C99" s="259"/>
      <c r="D99" s="259"/>
      <c r="E99" s="259"/>
      <c r="F99" s="259"/>
      <c r="G99" s="259"/>
      <c r="H99" s="259"/>
      <c r="I99" s="259"/>
      <c r="J99" s="259"/>
      <c r="K99" s="259"/>
      <c r="L99" s="259"/>
      <c r="M99" s="259"/>
      <c r="N99" s="259"/>
      <c r="O99" s="260" t="str">
        <f t="shared" si="14"/>
        <v/>
      </c>
      <c r="P99" s="239"/>
    </row>
    <row r="100" spans="1:16" ht="16" x14ac:dyDescent="0.2">
      <c r="A100" s="239"/>
      <c r="B100" s="180" t="s">
        <v>263</v>
      </c>
      <c r="C100" s="259"/>
      <c r="D100" s="259"/>
      <c r="E100" s="259"/>
      <c r="F100" s="259"/>
      <c r="G100" s="259"/>
      <c r="H100" s="259"/>
      <c r="I100" s="259"/>
      <c r="J100" s="259"/>
      <c r="K100" s="259"/>
      <c r="L100" s="259"/>
      <c r="M100" s="259"/>
      <c r="N100" s="259"/>
      <c r="O100" s="260" t="str">
        <f t="shared" si="14"/>
        <v/>
      </c>
      <c r="P100" s="239"/>
    </row>
    <row r="101" spans="1:16" ht="16" x14ac:dyDescent="0.2">
      <c r="A101" s="239"/>
      <c r="B101" s="180" t="s">
        <v>265</v>
      </c>
      <c r="C101" s="259"/>
      <c r="D101" s="259"/>
      <c r="E101" s="259"/>
      <c r="F101" s="259"/>
      <c r="G101" s="259"/>
      <c r="H101" s="259"/>
      <c r="I101" s="259"/>
      <c r="J101" s="259"/>
      <c r="K101" s="259"/>
      <c r="L101" s="259"/>
      <c r="M101" s="259"/>
      <c r="N101" s="259"/>
      <c r="O101" s="260" t="str">
        <f t="shared" si="14"/>
        <v/>
      </c>
      <c r="P101" s="239"/>
    </row>
    <row r="102" spans="1:16" ht="16" x14ac:dyDescent="0.2">
      <c r="A102" s="239"/>
      <c r="B102" s="180" t="s">
        <v>28</v>
      </c>
      <c r="C102" s="259">
        <v>1</v>
      </c>
      <c r="D102" s="259">
        <v>1</v>
      </c>
      <c r="E102" s="259">
        <v>1</v>
      </c>
      <c r="F102" s="259">
        <v>1</v>
      </c>
      <c r="G102" s="259">
        <v>1</v>
      </c>
      <c r="H102" s="259">
        <v>1</v>
      </c>
      <c r="I102" s="259">
        <v>1</v>
      </c>
      <c r="J102" s="259">
        <v>1</v>
      </c>
      <c r="K102" s="259">
        <v>1</v>
      </c>
      <c r="L102" s="259">
        <v>1</v>
      </c>
      <c r="M102" s="259">
        <v>1</v>
      </c>
      <c r="N102" s="259">
        <v>1</v>
      </c>
      <c r="O102" s="260">
        <f t="shared" si="14"/>
        <v>12</v>
      </c>
      <c r="P102" s="239"/>
    </row>
    <row r="103" spans="1:16" ht="16" x14ac:dyDescent="0.2">
      <c r="A103" s="239"/>
      <c r="B103" s="262" t="s">
        <v>205</v>
      </c>
      <c r="C103" s="263">
        <f>IF(COUNTA(C95:C102)=0, "", SUM(C95:C102))</f>
        <v>1</v>
      </c>
      <c r="D103" s="263">
        <f t="shared" ref="D103:N103" si="15">IF(COUNTA(D95:D102)=0, "", SUM(D95:D102))</f>
        <v>1</v>
      </c>
      <c r="E103" s="263">
        <f t="shared" si="15"/>
        <v>1</v>
      </c>
      <c r="F103" s="263">
        <f t="shared" si="15"/>
        <v>1</v>
      </c>
      <c r="G103" s="263">
        <f t="shared" si="15"/>
        <v>1</v>
      </c>
      <c r="H103" s="263">
        <f t="shared" si="15"/>
        <v>1</v>
      </c>
      <c r="I103" s="263">
        <f t="shared" si="15"/>
        <v>1</v>
      </c>
      <c r="J103" s="263">
        <f t="shared" si="15"/>
        <v>1</v>
      </c>
      <c r="K103" s="263">
        <f t="shared" si="15"/>
        <v>1</v>
      </c>
      <c r="L103" s="263">
        <f t="shared" si="15"/>
        <v>1</v>
      </c>
      <c r="M103" s="263">
        <f t="shared" si="15"/>
        <v>1</v>
      </c>
      <c r="N103" s="263">
        <f t="shared" si="15"/>
        <v>1</v>
      </c>
      <c r="O103" s="252">
        <f t="shared" si="14"/>
        <v>12</v>
      </c>
      <c r="P103" s="239"/>
    </row>
    <row r="104" spans="1:16" ht="16" x14ac:dyDescent="0.2">
      <c r="A104" s="239"/>
      <c r="B104" s="264" t="s">
        <v>206</v>
      </c>
      <c r="C104" s="268">
        <f>IF(COUNTA(C103:N103)=0, "", SUM(C103:N103))</f>
        <v>12</v>
      </c>
      <c r="D104" s="255"/>
      <c r="E104" s="255"/>
      <c r="F104" s="255"/>
      <c r="G104" s="255"/>
      <c r="H104" s="255"/>
      <c r="I104" s="255"/>
      <c r="J104" s="255"/>
      <c r="K104" s="255"/>
      <c r="L104" s="255"/>
      <c r="M104" s="255"/>
      <c r="N104" s="255"/>
      <c r="O104" s="256"/>
      <c r="P104" s="239"/>
    </row>
    <row r="105" spans="1:16" ht="19" x14ac:dyDescent="0.25">
      <c r="A105" s="239"/>
      <c r="B105" s="257"/>
      <c r="C105" s="255"/>
      <c r="D105" s="255"/>
      <c r="E105" s="255"/>
      <c r="F105" s="255"/>
      <c r="G105" s="269"/>
      <c r="H105" s="255"/>
      <c r="I105" s="255"/>
      <c r="J105" s="255"/>
      <c r="K105" s="255"/>
      <c r="L105" s="255"/>
      <c r="M105" s="255"/>
      <c r="N105" s="255"/>
      <c r="O105" s="256"/>
      <c r="P105" s="239"/>
    </row>
    <row r="106" spans="1:16" ht="16" x14ac:dyDescent="0.2">
      <c r="A106" s="239"/>
      <c r="B106" s="243" t="s">
        <v>266</v>
      </c>
      <c r="C106" s="244" t="s">
        <v>191</v>
      </c>
      <c r="D106" s="244" t="s">
        <v>192</v>
      </c>
      <c r="E106" s="244" t="s">
        <v>193</v>
      </c>
      <c r="F106" s="244" t="s">
        <v>194</v>
      </c>
      <c r="G106" s="244" t="s">
        <v>195</v>
      </c>
      <c r="H106" s="244" t="s">
        <v>196</v>
      </c>
      <c r="I106" s="244" t="s">
        <v>197</v>
      </c>
      <c r="J106" s="244" t="s">
        <v>198</v>
      </c>
      <c r="K106" s="244" t="s">
        <v>199</v>
      </c>
      <c r="L106" s="244" t="s">
        <v>200</v>
      </c>
      <c r="M106" s="244" t="s">
        <v>201</v>
      </c>
      <c r="N106" s="244" t="s">
        <v>202</v>
      </c>
      <c r="O106" s="245" t="s">
        <v>204</v>
      </c>
      <c r="P106" s="239"/>
    </row>
    <row r="107" spans="1:16" ht="16" x14ac:dyDescent="0.2">
      <c r="A107" s="239"/>
      <c r="B107" s="180" t="s">
        <v>267</v>
      </c>
      <c r="C107" s="259">
        <v>1</v>
      </c>
      <c r="D107" s="259">
        <v>1</v>
      </c>
      <c r="E107" s="259">
        <v>1</v>
      </c>
      <c r="F107" s="259">
        <v>1</v>
      </c>
      <c r="G107" s="259">
        <v>1</v>
      </c>
      <c r="H107" s="259">
        <v>1</v>
      </c>
      <c r="I107" s="259">
        <v>1</v>
      </c>
      <c r="J107" s="259">
        <v>1</v>
      </c>
      <c r="K107" s="259">
        <v>1</v>
      </c>
      <c r="L107" s="259">
        <v>1</v>
      </c>
      <c r="M107" s="259">
        <v>1</v>
      </c>
      <c r="N107" s="259">
        <v>1</v>
      </c>
      <c r="O107" s="260">
        <f>IF(COUNTA(C107:N107)=0, "", SUM(C107:N107))</f>
        <v>12</v>
      </c>
      <c r="P107" s="239"/>
    </row>
    <row r="108" spans="1:16" ht="16" x14ac:dyDescent="0.2">
      <c r="A108" s="239"/>
      <c r="B108" s="180" t="s">
        <v>268</v>
      </c>
      <c r="C108" s="259"/>
      <c r="D108" s="259"/>
      <c r="E108" s="259"/>
      <c r="F108" s="259"/>
      <c r="G108" s="259"/>
      <c r="H108" s="259"/>
      <c r="I108" s="259"/>
      <c r="J108" s="259"/>
      <c r="K108" s="259"/>
      <c r="L108" s="259"/>
      <c r="M108" s="259"/>
      <c r="N108" s="259"/>
      <c r="O108" s="260" t="str">
        <f t="shared" ref="O108:O116" si="16">IF(COUNTA(C108:N108)=0, "", SUM(C108:N108))</f>
        <v/>
      </c>
      <c r="P108" s="239"/>
    </row>
    <row r="109" spans="1:16" ht="16" x14ac:dyDescent="0.2">
      <c r="A109" s="239"/>
      <c r="B109" s="180" t="s">
        <v>221</v>
      </c>
      <c r="C109" s="259"/>
      <c r="D109" s="259"/>
      <c r="E109" s="259"/>
      <c r="F109" s="259"/>
      <c r="G109" s="259"/>
      <c r="H109" s="259"/>
      <c r="I109" s="259"/>
      <c r="J109" s="259"/>
      <c r="K109" s="259"/>
      <c r="L109" s="259"/>
      <c r="M109" s="259"/>
      <c r="N109" s="259"/>
      <c r="O109" s="260" t="str">
        <f t="shared" si="16"/>
        <v/>
      </c>
      <c r="P109" s="239"/>
    </row>
    <row r="110" spans="1:16" ht="16" x14ac:dyDescent="0.2">
      <c r="A110" s="239"/>
      <c r="B110" s="180" t="s">
        <v>222</v>
      </c>
      <c r="C110" s="259"/>
      <c r="D110" s="259"/>
      <c r="E110" s="259"/>
      <c r="F110" s="259"/>
      <c r="G110" s="259"/>
      <c r="H110" s="259"/>
      <c r="I110" s="259"/>
      <c r="J110" s="259"/>
      <c r="K110" s="259"/>
      <c r="L110" s="259"/>
      <c r="M110" s="259"/>
      <c r="N110" s="259"/>
      <c r="O110" s="260" t="str">
        <f t="shared" si="16"/>
        <v/>
      </c>
      <c r="P110" s="239"/>
    </row>
    <row r="111" spans="1:16" ht="16" x14ac:dyDescent="0.2">
      <c r="A111" s="239"/>
      <c r="B111" s="180" t="s">
        <v>223</v>
      </c>
      <c r="C111" s="259"/>
      <c r="D111" s="259"/>
      <c r="E111" s="259"/>
      <c r="F111" s="259"/>
      <c r="G111" s="259"/>
      <c r="H111" s="259"/>
      <c r="I111" s="259"/>
      <c r="J111" s="259"/>
      <c r="K111" s="259"/>
      <c r="L111" s="259"/>
      <c r="M111" s="259"/>
      <c r="N111" s="259"/>
      <c r="O111" s="260" t="str">
        <f t="shared" si="16"/>
        <v/>
      </c>
      <c r="P111" s="239"/>
    </row>
    <row r="112" spans="1:16" ht="16" x14ac:dyDescent="0.2">
      <c r="A112" s="239"/>
      <c r="B112" s="180" t="s">
        <v>269</v>
      </c>
      <c r="C112" s="259"/>
      <c r="D112" s="259"/>
      <c r="E112" s="259"/>
      <c r="F112" s="259"/>
      <c r="G112" s="259"/>
      <c r="H112" s="259"/>
      <c r="I112" s="259"/>
      <c r="J112" s="259"/>
      <c r="K112" s="259"/>
      <c r="L112" s="259"/>
      <c r="M112" s="259"/>
      <c r="N112" s="259"/>
      <c r="O112" s="260" t="str">
        <f t="shared" si="16"/>
        <v/>
      </c>
      <c r="P112" s="239"/>
    </row>
    <row r="113" spans="1:16" ht="16" x14ac:dyDescent="0.2">
      <c r="A113" s="239"/>
      <c r="B113" s="180" t="s">
        <v>270</v>
      </c>
      <c r="C113" s="259"/>
      <c r="D113" s="259"/>
      <c r="E113" s="259"/>
      <c r="F113" s="259"/>
      <c r="G113" s="259"/>
      <c r="H113" s="259"/>
      <c r="I113" s="259"/>
      <c r="J113" s="259"/>
      <c r="K113" s="259"/>
      <c r="L113" s="259"/>
      <c r="M113" s="259"/>
      <c r="N113" s="259"/>
      <c r="O113" s="260" t="str">
        <f t="shared" si="16"/>
        <v/>
      </c>
      <c r="P113" s="239"/>
    </row>
    <row r="114" spans="1:16" ht="16" x14ac:dyDescent="0.2">
      <c r="A114" s="239"/>
      <c r="B114" s="180" t="s">
        <v>271</v>
      </c>
      <c r="C114" s="259"/>
      <c r="D114" s="259"/>
      <c r="E114" s="259"/>
      <c r="F114" s="259"/>
      <c r="G114" s="259"/>
      <c r="H114" s="259"/>
      <c r="I114" s="259"/>
      <c r="J114" s="259"/>
      <c r="K114" s="259"/>
      <c r="L114" s="259"/>
      <c r="M114" s="259"/>
      <c r="N114" s="259"/>
      <c r="O114" s="260" t="str">
        <f t="shared" si="16"/>
        <v/>
      </c>
      <c r="P114" s="239"/>
    </row>
    <row r="115" spans="1:16" ht="16" x14ac:dyDescent="0.2">
      <c r="A115" s="239"/>
      <c r="B115" s="180" t="s">
        <v>272</v>
      </c>
      <c r="C115" s="259"/>
      <c r="D115" s="259"/>
      <c r="E115" s="259"/>
      <c r="F115" s="259"/>
      <c r="G115" s="259"/>
      <c r="H115" s="259"/>
      <c r="I115" s="259"/>
      <c r="J115" s="259"/>
      <c r="K115" s="259"/>
      <c r="L115" s="259"/>
      <c r="M115" s="259"/>
      <c r="N115" s="259"/>
      <c r="O115" s="260" t="str">
        <f t="shared" si="16"/>
        <v/>
      </c>
      <c r="P115" s="239"/>
    </row>
    <row r="116" spans="1:16" ht="16" x14ac:dyDescent="0.2">
      <c r="A116" s="239"/>
      <c r="B116" s="262" t="s">
        <v>205</v>
      </c>
      <c r="C116" s="263">
        <f>IF(COUNTA(C107:C115)=0, "", SUM(C107:C115))</f>
        <v>1</v>
      </c>
      <c r="D116" s="263">
        <f t="shared" ref="D116:N116" si="17">IF(COUNTA(D107:D115)=0, "", SUM(D107:D115))</f>
        <v>1</v>
      </c>
      <c r="E116" s="263">
        <f t="shared" si="17"/>
        <v>1</v>
      </c>
      <c r="F116" s="263">
        <f t="shared" si="17"/>
        <v>1</v>
      </c>
      <c r="G116" s="263">
        <f t="shared" si="17"/>
        <v>1</v>
      </c>
      <c r="H116" s="263">
        <f t="shared" si="17"/>
        <v>1</v>
      </c>
      <c r="I116" s="263">
        <f t="shared" si="17"/>
        <v>1</v>
      </c>
      <c r="J116" s="263">
        <f t="shared" si="17"/>
        <v>1</v>
      </c>
      <c r="K116" s="263">
        <f t="shared" si="17"/>
        <v>1</v>
      </c>
      <c r="L116" s="263">
        <f t="shared" si="17"/>
        <v>1</v>
      </c>
      <c r="M116" s="263">
        <f t="shared" si="17"/>
        <v>1</v>
      </c>
      <c r="N116" s="263">
        <f t="shared" si="17"/>
        <v>1</v>
      </c>
      <c r="O116" s="252">
        <f t="shared" si="16"/>
        <v>12</v>
      </c>
      <c r="P116" s="239"/>
    </row>
    <row r="117" spans="1:16" ht="16" x14ac:dyDescent="0.2">
      <c r="A117" s="239"/>
      <c r="B117" s="264" t="s">
        <v>206</v>
      </c>
      <c r="C117" s="268">
        <f>IF(COUNTA(C116:N116)=0, "", SUM(C116:N116))</f>
        <v>12</v>
      </c>
      <c r="D117" s="255"/>
      <c r="E117" s="255"/>
      <c r="F117" s="255"/>
      <c r="G117" s="255"/>
      <c r="H117" s="255"/>
      <c r="I117" s="255"/>
      <c r="J117" s="255"/>
      <c r="K117" s="255"/>
      <c r="L117" s="255"/>
      <c r="M117" s="255"/>
      <c r="N117" s="255"/>
      <c r="O117" s="256"/>
      <c r="P117" s="239"/>
    </row>
    <row r="118" spans="1:16" ht="16" x14ac:dyDescent="0.2">
      <c r="A118" s="239"/>
      <c r="B118" s="257"/>
      <c r="C118" s="255"/>
      <c r="D118" s="255"/>
      <c r="E118" s="255"/>
      <c r="F118" s="255"/>
      <c r="G118" s="255"/>
      <c r="H118" s="255"/>
      <c r="I118" s="255"/>
      <c r="J118" s="255"/>
      <c r="K118" s="255"/>
      <c r="L118" s="255"/>
      <c r="M118" s="255"/>
      <c r="N118" s="255"/>
      <c r="O118" s="256"/>
      <c r="P118" s="239"/>
    </row>
    <row r="119" spans="1:16" ht="16" x14ac:dyDescent="0.2">
      <c r="A119" s="239"/>
      <c r="B119" s="243" t="s">
        <v>273</v>
      </c>
      <c r="C119" s="244" t="s">
        <v>191</v>
      </c>
      <c r="D119" s="244" t="s">
        <v>192</v>
      </c>
      <c r="E119" s="244" t="s">
        <v>193</v>
      </c>
      <c r="F119" s="244" t="s">
        <v>194</v>
      </c>
      <c r="G119" s="244" t="s">
        <v>195</v>
      </c>
      <c r="H119" s="244" t="s">
        <v>196</v>
      </c>
      <c r="I119" s="244" t="s">
        <v>197</v>
      </c>
      <c r="J119" s="244" t="s">
        <v>198</v>
      </c>
      <c r="K119" s="244" t="s">
        <v>199</v>
      </c>
      <c r="L119" s="244" t="s">
        <v>200</v>
      </c>
      <c r="M119" s="244" t="s">
        <v>201</v>
      </c>
      <c r="N119" s="244" t="s">
        <v>202</v>
      </c>
      <c r="O119" s="245" t="s">
        <v>204</v>
      </c>
      <c r="P119" s="239"/>
    </row>
    <row r="120" spans="1:16" ht="16" x14ac:dyDescent="0.2">
      <c r="A120" s="239"/>
      <c r="B120" s="180" t="s">
        <v>225</v>
      </c>
      <c r="C120" s="259">
        <v>1</v>
      </c>
      <c r="D120" s="259"/>
      <c r="E120" s="259"/>
      <c r="F120" s="259"/>
      <c r="G120" s="259"/>
      <c r="H120" s="259"/>
      <c r="I120" s="259"/>
      <c r="J120" s="259"/>
      <c r="K120" s="259"/>
      <c r="L120" s="259"/>
      <c r="M120" s="259"/>
      <c r="N120" s="259"/>
      <c r="O120" s="260">
        <f>IF(COUNTA(C120:N120)=0, "", SUM(C120:N120))</f>
        <v>1</v>
      </c>
      <c r="P120" s="239"/>
    </row>
    <row r="121" spans="1:16" ht="16" x14ac:dyDescent="0.2">
      <c r="A121" s="239"/>
      <c r="B121" s="180" t="s">
        <v>274</v>
      </c>
      <c r="C121" s="259">
        <v>1</v>
      </c>
      <c r="D121" s="259"/>
      <c r="E121" s="259"/>
      <c r="F121" s="259"/>
      <c r="G121" s="259"/>
      <c r="H121" s="259"/>
      <c r="I121" s="259"/>
      <c r="J121" s="259"/>
      <c r="K121" s="259"/>
      <c r="L121" s="259"/>
      <c r="M121" s="259"/>
      <c r="N121" s="259"/>
      <c r="O121" s="260">
        <f t="shared" ref="O121:O126" si="18">IF(COUNTA(C121:N121)=0, "", SUM(C121:N121))</f>
        <v>1</v>
      </c>
      <c r="P121" s="239"/>
    </row>
    <row r="122" spans="1:16" ht="16" x14ac:dyDescent="0.2">
      <c r="A122" s="239"/>
      <c r="B122" s="180" t="s">
        <v>275</v>
      </c>
      <c r="C122" s="259">
        <v>1</v>
      </c>
      <c r="D122" s="259"/>
      <c r="E122" s="259"/>
      <c r="F122" s="259"/>
      <c r="G122" s="259"/>
      <c r="H122" s="259"/>
      <c r="I122" s="259"/>
      <c r="J122" s="259"/>
      <c r="K122" s="259"/>
      <c r="L122" s="259"/>
      <c r="M122" s="259"/>
      <c r="N122" s="259"/>
      <c r="O122" s="260">
        <f t="shared" si="18"/>
        <v>1</v>
      </c>
      <c r="P122" s="239"/>
    </row>
    <row r="123" spans="1:16" ht="16" x14ac:dyDescent="0.2">
      <c r="A123" s="239"/>
      <c r="B123" s="180" t="s">
        <v>276</v>
      </c>
      <c r="C123" s="259">
        <v>1</v>
      </c>
      <c r="D123" s="259"/>
      <c r="E123" s="259"/>
      <c r="F123" s="259"/>
      <c r="G123" s="259"/>
      <c r="H123" s="259"/>
      <c r="I123" s="259"/>
      <c r="J123" s="259"/>
      <c r="K123" s="259"/>
      <c r="L123" s="259"/>
      <c r="M123" s="259"/>
      <c r="N123" s="259"/>
      <c r="O123" s="260">
        <f t="shared" si="18"/>
        <v>1</v>
      </c>
      <c r="P123" s="239"/>
    </row>
    <row r="124" spans="1:16" ht="16" x14ac:dyDescent="0.2">
      <c r="A124" s="239"/>
      <c r="B124" s="180" t="s">
        <v>278</v>
      </c>
      <c r="C124" s="259">
        <v>1</v>
      </c>
      <c r="D124" s="259"/>
      <c r="E124" s="259"/>
      <c r="F124" s="259"/>
      <c r="G124" s="259"/>
      <c r="H124" s="259"/>
      <c r="I124" s="259"/>
      <c r="J124" s="259"/>
      <c r="K124" s="259"/>
      <c r="L124" s="259"/>
      <c r="M124" s="259"/>
      <c r="N124" s="259"/>
      <c r="O124" s="260">
        <f t="shared" si="18"/>
        <v>1</v>
      </c>
      <c r="P124" s="239"/>
    </row>
    <row r="125" spans="1:16" ht="16" x14ac:dyDescent="0.2">
      <c r="A125" s="239"/>
      <c r="B125" s="180" t="s">
        <v>277</v>
      </c>
      <c r="C125" s="259">
        <v>1</v>
      </c>
      <c r="D125" s="259"/>
      <c r="E125" s="259"/>
      <c r="F125" s="259"/>
      <c r="G125" s="259"/>
      <c r="H125" s="259"/>
      <c r="I125" s="259"/>
      <c r="J125" s="259"/>
      <c r="K125" s="259"/>
      <c r="L125" s="259"/>
      <c r="M125" s="259"/>
      <c r="N125" s="259"/>
      <c r="O125" s="260">
        <f t="shared" si="18"/>
        <v>1</v>
      </c>
      <c r="P125" s="239"/>
    </row>
    <row r="126" spans="1:16" ht="16" x14ac:dyDescent="0.2">
      <c r="A126" s="239"/>
      <c r="B126" s="180" t="s">
        <v>226</v>
      </c>
      <c r="C126" s="259">
        <v>1</v>
      </c>
      <c r="D126" s="259"/>
      <c r="E126" s="259"/>
      <c r="F126" s="259"/>
      <c r="G126" s="259"/>
      <c r="H126" s="259"/>
      <c r="I126" s="259"/>
      <c r="J126" s="259"/>
      <c r="K126" s="259"/>
      <c r="L126" s="259"/>
      <c r="M126" s="259"/>
      <c r="N126" s="259"/>
      <c r="O126" s="260">
        <f t="shared" si="18"/>
        <v>1</v>
      </c>
      <c r="P126" s="239"/>
    </row>
    <row r="127" spans="1:16" ht="16" x14ac:dyDescent="0.2">
      <c r="A127" s="239"/>
      <c r="B127" s="180" t="s">
        <v>54</v>
      </c>
      <c r="C127" s="259">
        <v>1</v>
      </c>
      <c r="D127" s="259"/>
      <c r="E127" s="259"/>
      <c r="F127" s="259"/>
      <c r="G127" s="259"/>
      <c r="H127" s="259"/>
      <c r="I127" s="259"/>
      <c r="J127" s="259"/>
      <c r="K127" s="259"/>
      <c r="L127" s="259"/>
      <c r="M127" s="259"/>
      <c r="N127" s="259"/>
      <c r="O127" s="260">
        <f t="shared" ref="O127:O129" si="19">IF(COUNTA(C127:N127)=0, "", SUM(C127:N127))</f>
        <v>1</v>
      </c>
      <c r="P127" s="239"/>
    </row>
    <row r="128" spans="1:16" ht="16" x14ac:dyDescent="0.2">
      <c r="A128" s="239"/>
      <c r="B128" s="180" t="s">
        <v>227</v>
      </c>
      <c r="C128" s="259">
        <v>1</v>
      </c>
      <c r="D128" s="259"/>
      <c r="E128" s="259"/>
      <c r="F128" s="259"/>
      <c r="G128" s="259"/>
      <c r="H128" s="259"/>
      <c r="I128" s="259"/>
      <c r="J128" s="259"/>
      <c r="K128" s="259"/>
      <c r="L128" s="259"/>
      <c r="M128" s="259"/>
      <c r="N128" s="259"/>
      <c r="O128" s="260">
        <f t="shared" si="19"/>
        <v>1</v>
      </c>
      <c r="P128" s="239"/>
    </row>
    <row r="129" spans="1:16" ht="16" x14ac:dyDescent="0.2">
      <c r="A129" s="239"/>
      <c r="B129" s="262" t="s">
        <v>205</v>
      </c>
      <c r="C129" s="263">
        <f>IF(COUNTA(C120:C128)=0, "", SUM(C120:C128))</f>
        <v>9</v>
      </c>
      <c r="D129" s="263" t="str">
        <f t="shared" ref="D129:N129" si="20">IF(COUNTA(D120:D128)=0, "", SUM(D120:D128))</f>
        <v/>
      </c>
      <c r="E129" s="263" t="str">
        <f t="shared" si="20"/>
        <v/>
      </c>
      <c r="F129" s="263" t="str">
        <f t="shared" si="20"/>
        <v/>
      </c>
      <c r="G129" s="263" t="str">
        <f t="shared" si="20"/>
        <v/>
      </c>
      <c r="H129" s="263" t="str">
        <f t="shared" si="20"/>
        <v/>
      </c>
      <c r="I129" s="263" t="str">
        <f t="shared" si="20"/>
        <v/>
      </c>
      <c r="J129" s="263" t="str">
        <f t="shared" si="20"/>
        <v/>
      </c>
      <c r="K129" s="263" t="str">
        <f t="shared" si="20"/>
        <v/>
      </c>
      <c r="L129" s="263" t="str">
        <f t="shared" si="20"/>
        <v/>
      </c>
      <c r="M129" s="263" t="str">
        <f t="shared" si="20"/>
        <v/>
      </c>
      <c r="N129" s="263" t="str">
        <f t="shared" si="20"/>
        <v/>
      </c>
      <c r="O129" s="252">
        <f t="shared" si="19"/>
        <v>9</v>
      </c>
      <c r="P129" s="239"/>
    </row>
    <row r="130" spans="1:16" ht="16" x14ac:dyDescent="0.2">
      <c r="A130" s="239"/>
      <c r="B130" s="264" t="s">
        <v>206</v>
      </c>
      <c r="C130" s="268">
        <f>IF(COUNTA(C129:N129)=0, "", SUM(C129:N129))</f>
        <v>9</v>
      </c>
      <c r="D130" s="255"/>
      <c r="E130" s="255"/>
      <c r="F130" s="255"/>
      <c r="G130" s="255"/>
      <c r="H130" s="255"/>
      <c r="I130" s="255"/>
      <c r="J130" s="255"/>
      <c r="K130" s="255"/>
      <c r="L130" s="255"/>
      <c r="M130" s="255"/>
      <c r="N130" s="255"/>
      <c r="O130" s="256"/>
      <c r="P130" s="239"/>
    </row>
    <row r="131" spans="1:16" ht="16" x14ac:dyDescent="0.2">
      <c r="A131" s="239"/>
      <c r="B131" s="257"/>
      <c r="C131" s="255"/>
      <c r="D131" s="255"/>
      <c r="E131" s="255"/>
      <c r="F131" s="255"/>
      <c r="G131" s="255"/>
      <c r="H131" s="255"/>
      <c r="I131" s="255"/>
      <c r="J131" s="255"/>
      <c r="K131" s="255"/>
      <c r="L131" s="255"/>
      <c r="M131" s="255"/>
      <c r="N131" s="255"/>
      <c r="O131" s="256"/>
      <c r="P131" s="239"/>
    </row>
    <row r="132" spans="1:16" ht="16" x14ac:dyDescent="0.2">
      <c r="A132" s="239"/>
      <c r="B132" s="257"/>
      <c r="C132" s="255"/>
      <c r="D132" s="255"/>
      <c r="E132" s="255"/>
      <c r="F132" s="255"/>
      <c r="G132" s="255"/>
      <c r="H132" s="255"/>
      <c r="I132" s="255"/>
      <c r="J132" s="255"/>
      <c r="K132" s="255"/>
      <c r="L132" s="255"/>
      <c r="M132" s="255"/>
      <c r="N132" s="255"/>
      <c r="O132" s="256"/>
      <c r="P132" s="239"/>
    </row>
    <row r="133" spans="1:16" ht="19" x14ac:dyDescent="0.25">
      <c r="A133" s="239"/>
      <c r="B133" s="270" t="s">
        <v>285</v>
      </c>
      <c r="C133" s="271"/>
      <c r="D133" s="271"/>
      <c r="E133" s="271"/>
      <c r="F133" s="271"/>
      <c r="G133" s="271"/>
      <c r="H133" s="271"/>
      <c r="I133" s="271"/>
      <c r="J133" s="271"/>
      <c r="K133" s="271"/>
      <c r="L133" s="271"/>
      <c r="M133" s="271"/>
      <c r="N133" s="271"/>
      <c r="O133" s="272"/>
      <c r="P133" s="239"/>
    </row>
    <row r="134" spans="1:16" ht="16" x14ac:dyDescent="0.2">
      <c r="A134" s="239"/>
      <c r="B134" s="243" t="s">
        <v>280</v>
      </c>
      <c r="C134" s="244" t="s">
        <v>191</v>
      </c>
      <c r="D134" s="244" t="s">
        <v>192</v>
      </c>
      <c r="E134" s="244" t="s">
        <v>193</v>
      </c>
      <c r="F134" s="244" t="s">
        <v>194</v>
      </c>
      <c r="G134" s="244" t="s">
        <v>195</v>
      </c>
      <c r="H134" s="244" t="s">
        <v>196</v>
      </c>
      <c r="I134" s="244" t="s">
        <v>197</v>
      </c>
      <c r="J134" s="244" t="s">
        <v>198</v>
      </c>
      <c r="K134" s="244" t="s">
        <v>199</v>
      </c>
      <c r="L134" s="244" t="s">
        <v>200</v>
      </c>
      <c r="M134" s="244" t="s">
        <v>201</v>
      </c>
      <c r="N134" s="244" t="s">
        <v>202</v>
      </c>
      <c r="O134" s="245" t="s">
        <v>204</v>
      </c>
      <c r="P134" s="239"/>
    </row>
    <row r="135" spans="1:16" ht="16" x14ac:dyDescent="0.2">
      <c r="A135" s="239"/>
      <c r="B135" s="262" t="s">
        <v>281</v>
      </c>
      <c r="C135" s="273">
        <f t="shared" ref="C135:O135" si="21">SUM(C28,C39,C55,C65,C78,C91,C103,C116,C129)</f>
        <v>17</v>
      </c>
      <c r="D135" s="273">
        <f t="shared" si="21"/>
        <v>8</v>
      </c>
      <c r="E135" s="273">
        <f t="shared" si="21"/>
        <v>8</v>
      </c>
      <c r="F135" s="273">
        <f t="shared" si="21"/>
        <v>8</v>
      </c>
      <c r="G135" s="273">
        <f t="shared" si="21"/>
        <v>8</v>
      </c>
      <c r="H135" s="273">
        <f t="shared" si="21"/>
        <v>8</v>
      </c>
      <c r="I135" s="273">
        <f t="shared" si="21"/>
        <v>8</v>
      </c>
      <c r="J135" s="273">
        <f t="shared" si="21"/>
        <v>8</v>
      </c>
      <c r="K135" s="273">
        <f t="shared" si="21"/>
        <v>8</v>
      </c>
      <c r="L135" s="273">
        <f t="shared" si="21"/>
        <v>8</v>
      </c>
      <c r="M135" s="273">
        <f t="shared" si="21"/>
        <v>8</v>
      </c>
      <c r="N135" s="273">
        <f t="shared" si="21"/>
        <v>8</v>
      </c>
      <c r="O135" s="274">
        <f t="shared" si="21"/>
        <v>105</v>
      </c>
      <c r="P135" s="239"/>
    </row>
    <row r="136" spans="1:16" ht="16" x14ac:dyDescent="0.2">
      <c r="A136" s="239"/>
      <c r="B136" s="264" t="s">
        <v>282</v>
      </c>
      <c r="C136" s="275">
        <f>IF(COUNTA(C135:N135)=0, "", SUM(C135:N135))</f>
        <v>105</v>
      </c>
      <c r="D136" s="255"/>
      <c r="E136" s="255"/>
      <c r="F136" s="255"/>
      <c r="G136" s="255"/>
      <c r="H136" s="255"/>
      <c r="I136" s="255"/>
      <c r="J136" s="255"/>
      <c r="K136" s="255"/>
      <c r="L136" s="255"/>
      <c r="M136" s="255"/>
      <c r="N136" s="255"/>
      <c r="O136" s="260"/>
      <c r="P136" s="239"/>
    </row>
    <row r="137" spans="1:16" ht="16" x14ac:dyDescent="0.2">
      <c r="A137" s="239"/>
      <c r="B137" s="257"/>
      <c r="C137" s="255"/>
      <c r="D137" s="255"/>
      <c r="E137" s="255"/>
      <c r="F137" s="255"/>
      <c r="G137" s="255"/>
      <c r="H137" s="255"/>
      <c r="I137" s="255"/>
      <c r="J137" s="255"/>
      <c r="K137" s="255"/>
      <c r="L137" s="255"/>
      <c r="M137" s="255"/>
      <c r="N137" s="255"/>
      <c r="O137" s="276"/>
      <c r="P137" s="239"/>
    </row>
    <row r="138" spans="1:16" ht="16" x14ac:dyDescent="0.2">
      <c r="A138" s="239"/>
      <c r="B138" s="277" t="s">
        <v>283</v>
      </c>
      <c r="C138" s="278">
        <f>IFERROR(C15-SUM(C28,C39,C55,C65,C78,C91,C103,C116,C129),0)</f>
        <v>9983</v>
      </c>
      <c r="D138" s="278">
        <f t="shared" ref="D138:N138" si="22">IFERROR(D15-SUM(D28,D39,D55,D65,D78,D91,D103,D116,D129),0)</f>
        <v>9992</v>
      </c>
      <c r="E138" s="278">
        <f t="shared" si="22"/>
        <v>9992</v>
      </c>
      <c r="F138" s="278">
        <f t="shared" si="22"/>
        <v>9992</v>
      </c>
      <c r="G138" s="278">
        <f t="shared" si="22"/>
        <v>9992</v>
      </c>
      <c r="H138" s="278">
        <f t="shared" si="22"/>
        <v>9992</v>
      </c>
      <c r="I138" s="278">
        <f t="shared" si="22"/>
        <v>9992</v>
      </c>
      <c r="J138" s="278">
        <f t="shared" si="22"/>
        <v>9992</v>
      </c>
      <c r="K138" s="278">
        <f t="shared" si="22"/>
        <v>9992</v>
      </c>
      <c r="L138" s="278">
        <f t="shared" si="22"/>
        <v>9992</v>
      </c>
      <c r="M138" s="278">
        <f t="shared" si="22"/>
        <v>9992</v>
      </c>
      <c r="N138" s="278">
        <f t="shared" si="22"/>
        <v>9992</v>
      </c>
      <c r="O138" s="279">
        <f t="shared" ref="O138" si="23">IFERROR(O15-SUM(O28,O39,O55,O65,O78,O91,O103,O116,O129),0)</f>
        <v>119895</v>
      </c>
      <c r="P138" s="239"/>
    </row>
    <row r="139" spans="1:16" ht="16" x14ac:dyDescent="0.2">
      <c r="A139" s="239"/>
      <c r="B139" s="255"/>
      <c r="C139" s="255"/>
      <c r="D139" s="255"/>
      <c r="E139" s="255"/>
      <c r="F139" s="255"/>
      <c r="G139" s="255"/>
      <c r="H139" s="255"/>
      <c r="I139" s="255"/>
      <c r="J139" s="255"/>
      <c r="K139" s="255"/>
      <c r="L139" s="255"/>
      <c r="M139" s="255"/>
      <c r="N139" s="255"/>
      <c r="O139" s="255"/>
      <c r="P139" s="239"/>
    </row>
    <row r="140" spans="1:16" ht="16" x14ac:dyDescent="0.2">
      <c r="A140" s="239"/>
      <c r="B140" s="239"/>
      <c r="C140" s="239"/>
      <c r="D140" s="239"/>
      <c r="E140" s="239"/>
      <c r="F140" s="239"/>
      <c r="G140" s="239"/>
      <c r="H140" s="239"/>
      <c r="I140" s="239"/>
      <c r="J140" s="239"/>
      <c r="K140" s="239"/>
      <c r="L140" s="239"/>
      <c r="M140" s="239"/>
      <c r="N140" s="239"/>
      <c r="O140" s="239"/>
      <c r="P140" s="239"/>
    </row>
    <row r="141" spans="1:16" ht="16" x14ac:dyDescent="0.2">
      <c r="A141" s="239"/>
      <c r="B141" s="239"/>
      <c r="C141" s="239"/>
      <c r="D141" s="239"/>
      <c r="E141" s="239"/>
      <c r="F141" s="239"/>
      <c r="G141" s="239"/>
      <c r="H141" s="239"/>
      <c r="I141" s="239"/>
      <c r="J141" s="239"/>
      <c r="K141" s="239"/>
      <c r="L141" s="239"/>
      <c r="M141" s="239"/>
      <c r="N141" s="239"/>
      <c r="O141" s="239"/>
      <c r="P141" s="239"/>
    </row>
    <row r="142" spans="1:16" ht="16" x14ac:dyDescent="0.2">
      <c r="A142" s="239"/>
      <c r="B142" s="239"/>
      <c r="C142" s="239"/>
      <c r="D142" s="239"/>
      <c r="E142" s="239"/>
      <c r="F142" s="239"/>
      <c r="G142" s="239"/>
      <c r="H142" s="239"/>
      <c r="I142" s="239"/>
      <c r="J142" s="239"/>
      <c r="K142" s="239"/>
      <c r="L142" s="239"/>
      <c r="M142" s="239"/>
      <c r="N142" s="239"/>
      <c r="O142" s="239"/>
      <c r="P142" s="239"/>
    </row>
  </sheetData>
  <sheetProtection algorithmName="SHA-512" hashValue="sJevkklpQwH6mngkifvS9rpZCieE+8IZFu6uT6c9bQeYRe8oaO5b19E3q2IxbGQ/QQdtOaANFqjP9flm8QtdDA==" saltValue="G8cCsJAWXOPYh0mxBzSxwA==" spinCount="100000" sheet="1" objects="1" scenarios="1"/>
  <mergeCells count="1">
    <mergeCell ref="A1:P1"/>
  </mergeCells>
  <conditionalFormatting sqref="C135:N135">
    <cfRule type="cellIs" dxfId="79" priority="1" operator="equal">
      <formula>0</formula>
    </cfRule>
  </conditionalFormatting>
  <conditionalFormatting sqref="C138:O138">
    <cfRule type="cellIs" dxfId="78" priority="2" operator="equal">
      <formula>0</formula>
    </cfRule>
    <cfRule type="cellIs" dxfId="77" priority="3" operator="greaterThan">
      <formula>0</formula>
    </cfRule>
    <cfRule type="cellIs" dxfId="76" priority="4" operator="lessThan">
      <formula>0</formula>
    </cfRule>
  </conditionalFormatting>
  <printOptions horizontalCentered="1" verticalCentered="1"/>
  <pageMargins left="0.25" right="0.25" top="0.75" bottom="0.75" header="0.3" footer="0.3"/>
  <pageSetup scale="31" orientation="portrait" horizontalDpi="0" verticalDpi="0"/>
  <ignoredErrors>
    <ignoredError sqref="O8" emptyCellReference="1"/>
  </ignoredErrors>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AB665-341A-024A-ABC5-96BA5A5680CC}">
  <sheetPr codeName="Sheet2">
    <pageSetUpPr fitToPage="1"/>
  </sheetPr>
  <dimension ref="A1:T120"/>
  <sheetViews>
    <sheetView zoomScale="75" zoomScaleNormal="75" workbookViewId="0">
      <selection activeCell="I20" sqref="I20"/>
    </sheetView>
  </sheetViews>
  <sheetFormatPr baseColWidth="10" defaultColWidth="11.5" defaultRowHeight="15" x14ac:dyDescent="0.2"/>
  <cols>
    <col min="1" max="1" width="20.6640625" style="34" bestFit="1" customWidth="1"/>
    <col min="2" max="2" width="46.6640625" style="34" customWidth="1"/>
    <col min="3" max="3" width="9.5" style="34" customWidth="1"/>
    <col min="4" max="4" width="15.5" style="34" customWidth="1"/>
    <col min="5" max="5" width="11.83203125" style="34" customWidth="1"/>
    <col min="6" max="6" width="11.33203125" style="34" customWidth="1"/>
    <col min="7" max="7" width="8.5" style="34" customWidth="1"/>
    <col min="8" max="8" width="11.1640625" style="34" customWidth="1"/>
    <col min="9" max="9" width="9.6640625" style="34" customWidth="1"/>
    <col min="10" max="10" width="11.1640625" style="34" customWidth="1"/>
    <col min="11" max="11" width="9.6640625" style="34" customWidth="1"/>
    <col min="12" max="12" width="11.5" style="34" customWidth="1"/>
    <col min="13" max="16384" width="11.5" style="34"/>
  </cols>
  <sheetData>
    <row r="1" spans="1:14" ht="19" x14ac:dyDescent="0.25">
      <c r="A1" s="375" t="s">
        <v>184</v>
      </c>
      <c r="B1" s="376"/>
      <c r="C1" s="376"/>
      <c r="D1" s="376"/>
      <c r="E1" s="376"/>
      <c r="F1" s="376"/>
      <c r="G1" s="376"/>
      <c r="H1" s="376"/>
      <c r="I1" s="376"/>
      <c r="J1" s="376"/>
      <c r="K1" s="376"/>
      <c r="L1" s="377"/>
      <c r="M1" s="33"/>
    </row>
    <row r="2" spans="1:14" ht="16" x14ac:dyDescent="0.2">
      <c r="A2" s="35"/>
      <c r="B2" s="36"/>
      <c r="C2" s="36"/>
      <c r="D2" s="36"/>
      <c r="E2" s="36"/>
      <c r="F2" s="36"/>
      <c r="G2" s="36"/>
      <c r="H2" s="36"/>
      <c r="I2" s="36"/>
      <c r="J2" s="36"/>
      <c r="K2" s="36"/>
      <c r="L2" s="37"/>
      <c r="M2" s="33"/>
      <c r="N2" s="38"/>
    </row>
    <row r="3" spans="1:14" ht="16" x14ac:dyDescent="0.2">
      <c r="A3" s="39" t="s">
        <v>172</v>
      </c>
      <c r="B3" s="40">
        <f ca="1">SUM(B36,B6,B35)</f>
        <v>6760.76</v>
      </c>
      <c r="D3" s="41" t="s">
        <v>170</v>
      </c>
      <c r="E3" s="42">
        <f ca="1">B10</f>
        <v>6759.76</v>
      </c>
      <c r="L3" s="43"/>
      <c r="N3" s="33"/>
    </row>
    <row r="4" spans="1:14" ht="16" x14ac:dyDescent="0.2">
      <c r="A4" s="44" t="s">
        <v>173</v>
      </c>
      <c r="B4" s="45">
        <f ca="1">SUM(J12:J34)</f>
        <v>-4.9930000000000039</v>
      </c>
      <c r="D4" s="46" t="s">
        <v>21</v>
      </c>
      <c r="E4" s="47">
        <f ca="1">B3/E3</f>
        <v>1.0001479342461863</v>
      </c>
      <c r="L4" s="43"/>
    </row>
    <row r="5" spans="1:14" ht="16" x14ac:dyDescent="0.2">
      <c r="A5" s="48" t="s">
        <v>177</v>
      </c>
      <c r="B5" s="49" t="str">
        <f ca="1">IF(B36&gt;=0,
    "+" &amp; TEXT(B36,"$#,##0.00") &amp; " (+" &amp; TEXT(B36/B6,"0.00%") &amp; ")",
    TEXT(B36,"$#,##0.00") &amp; " (" &amp; TEXT(B36/B6,"0.00%") &amp; ")"
)</f>
        <v>+$1.00 (+0.01%)</v>
      </c>
      <c r="D5" s="50" t="s">
        <v>181</v>
      </c>
      <c r="E5" s="47">
        <f ca="1">1-E4</f>
        <v>-1.4793424618630979E-4</v>
      </c>
      <c r="L5" s="43"/>
    </row>
    <row r="6" spans="1:14" ht="16" x14ac:dyDescent="0.2">
      <c r="A6" s="51" t="s">
        <v>186</v>
      </c>
      <c r="B6" s="52">
        <f ca="1">E3</f>
        <v>6759.76</v>
      </c>
      <c r="D6" s="53"/>
      <c r="L6" s="43"/>
    </row>
    <row r="7" spans="1:14" x14ac:dyDescent="0.2">
      <c r="A7" s="46"/>
      <c r="L7" s="43"/>
    </row>
    <row r="8" spans="1:14" x14ac:dyDescent="0.2">
      <c r="A8" s="46"/>
      <c r="L8" s="43"/>
    </row>
    <row r="9" spans="1:14" x14ac:dyDescent="0.2">
      <c r="A9" s="54" t="s">
        <v>171</v>
      </c>
      <c r="B9" s="55" t="s">
        <v>179</v>
      </c>
      <c r="G9" s="56"/>
      <c r="L9" s="43"/>
    </row>
    <row r="10" spans="1:14" x14ac:dyDescent="0.2">
      <c r="A10" s="57">
        <f>COUNTA(_xlfn.UNIQUE(A12:A34))</f>
        <v>23</v>
      </c>
      <c r="B10" s="58">
        <f ca="1">SUM(F12:F34)</f>
        <v>6759.76</v>
      </c>
      <c r="L10" s="43"/>
    </row>
    <row r="11" spans="1:14" x14ac:dyDescent="0.2">
      <c r="A11" s="59" t="s">
        <v>147</v>
      </c>
      <c r="B11" s="59" t="s">
        <v>17</v>
      </c>
      <c r="C11" s="60" t="s">
        <v>9</v>
      </c>
      <c r="D11" s="60" t="s">
        <v>19</v>
      </c>
      <c r="E11" s="60" t="s">
        <v>18</v>
      </c>
      <c r="F11" s="60" t="s">
        <v>21</v>
      </c>
      <c r="G11" s="60" t="s">
        <v>180</v>
      </c>
      <c r="H11" s="61" t="s">
        <v>174</v>
      </c>
      <c r="I11" s="62"/>
      <c r="J11" s="61" t="s">
        <v>175</v>
      </c>
      <c r="K11" s="63"/>
      <c r="L11" s="43"/>
    </row>
    <row r="12" spans="1:14" x14ac:dyDescent="0.2">
      <c r="A12" s="64" t="s">
        <v>148</v>
      </c>
      <c r="B12" s="64" t="e" vm="1">
        <v>#VALUE!</v>
      </c>
      <c r="C12" s="65" cm="1">
        <f t="array" aca="1" ref="C12" ca="1">_FV(B12,"Price")</f>
        <v>278.02999999999997</v>
      </c>
      <c r="D12" s="66">
        <f ca="1">C12</f>
        <v>278.02999999999997</v>
      </c>
      <c r="E12" s="67">
        <v>1</v>
      </c>
      <c r="F12" s="68">
        <f t="shared" ref="F12:F34" ca="1" si="0">E12*C12</f>
        <v>278.02999999999997</v>
      </c>
      <c r="G12" s="47">
        <f t="shared" ref="G12:G34" ca="1" si="1">F12/$B$10</f>
        <v>4.1130158467164508E-2</v>
      </c>
      <c r="H12" s="69">
        <f t="shared" ref="H12:H34" ca="1" si="2">(C12 - D12) * E12</f>
        <v>0</v>
      </c>
      <c r="I12" s="70" t="str">
        <f t="shared" ref="I12:I34" ca="1" si="3">IF((C12-D12)/D12&lt;0,
"(" &amp; TEXT((C12-D12)/D12,"0.00%") &amp; ")",
"(+" &amp; TEXT((C12-D12)/D12,"0.00%") &amp; ")")</f>
        <v>(+0.00%)</v>
      </c>
      <c r="J12" s="71" cm="1">
        <f t="array" aca="1" ref="J12" ca="1">(_FV(B12,"Change"))*E12</f>
        <v>-0.75</v>
      </c>
      <c r="K12" s="72" cm="1">
        <f t="array" aca="1" ref="K12" ca="1">_FV(B12,"Change (%)",TRUE)</f>
        <v>-2.6900000000000001E-3</v>
      </c>
      <c r="L12" s="43"/>
    </row>
    <row r="13" spans="1:14" x14ac:dyDescent="0.2">
      <c r="A13" s="64" t="s">
        <v>149</v>
      </c>
      <c r="B13" s="64" t="e" vm="2">
        <v>#VALUE!</v>
      </c>
      <c r="C13" s="65" cm="1">
        <f t="array" aca="1" ref="C13" ca="1">_FV(B13,"Price")</f>
        <v>180.93</v>
      </c>
      <c r="D13" s="66">
        <f t="shared" ref="D13:D34" ca="1" si="4">C13</f>
        <v>180.93</v>
      </c>
      <c r="E13" s="67">
        <v>1</v>
      </c>
      <c r="F13" s="68">
        <f t="shared" ca="1" si="0"/>
        <v>180.93</v>
      </c>
      <c r="G13" s="47">
        <f t="shared" ca="1" si="1"/>
        <v>2.6765743162479143E-2</v>
      </c>
      <c r="H13" s="69">
        <f t="shared" ca="1" si="2"/>
        <v>0</v>
      </c>
      <c r="I13" s="70" t="str">
        <f t="shared" ca="1" si="3"/>
        <v>(+0.00%)</v>
      </c>
      <c r="J13" s="71" cm="1">
        <f t="array" aca="1" ref="J13" ca="1">(_FV(B13,"Change"))*E13</f>
        <v>-2.85</v>
      </c>
      <c r="K13" s="72" cm="1">
        <f t="array" aca="1" ref="K13" ca="1">_FV(B13,"Change (%)",TRUE)</f>
        <v>-1.5507999999999999E-2</v>
      </c>
      <c r="L13" s="43"/>
    </row>
    <row r="14" spans="1:14" x14ac:dyDescent="0.2">
      <c r="A14" s="64" t="s">
        <v>150</v>
      </c>
      <c r="B14" s="64" t="e" vm="3">
        <v>#VALUE!</v>
      </c>
      <c r="C14" s="65" cm="1">
        <f t="array" aca="1" ref="C14" ca="1">_FV(B14,"Price")</f>
        <v>312.43</v>
      </c>
      <c r="D14" s="66">
        <f t="shared" ca="1" si="4"/>
        <v>312.43</v>
      </c>
      <c r="E14" s="67">
        <v>1</v>
      </c>
      <c r="F14" s="68">
        <f t="shared" ca="1" si="0"/>
        <v>312.43</v>
      </c>
      <c r="G14" s="47">
        <f t="shared" ca="1" si="1"/>
        <v>4.6219096535971692E-2</v>
      </c>
      <c r="H14" s="69">
        <f t="shared" ca="1" si="2"/>
        <v>0</v>
      </c>
      <c r="I14" s="70" t="str">
        <f t="shared" ca="1" si="3"/>
        <v>(+0.00%)</v>
      </c>
      <c r="J14" s="71" cm="1">
        <f t="array" aca="1" ref="J14" ca="1">(_FV(B14,"Change"))*E14</f>
        <v>-7.78</v>
      </c>
      <c r="K14" s="72" cm="1">
        <f t="array" aca="1" ref="K14" ca="1">_FV(B14,"Change (%)",TRUE)</f>
        <v>-2.4296999999999999E-2</v>
      </c>
      <c r="L14" s="43"/>
    </row>
    <row r="15" spans="1:14" x14ac:dyDescent="0.2">
      <c r="A15" s="64" t="s">
        <v>151</v>
      </c>
      <c r="B15" s="64" t="e" vm="4">
        <v>#VALUE!</v>
      </c>
      <c r="C15" s="65" cm="1">
        <f t="array" aca="1" ref="C15" ca="1">_FV(B15,"Price")</f>
        <v>34.020000000000003</v>
      </c>
      <c r="D15" s="66">
        <f t="shared" ca="1" si="4"/>
        <v>34.020000000000003</v>
      </c>
      <c r="E15" s="67">
        <v>1</v>
      </c>
      <c r="F15" s="68">
        <f t="shared" ca="1" si="0"/>
        <v>34.020000000000003</v>
      </c>
      <c r="G15" s="47">
        <f t="shared" ca="1" si="1"/>
        <v>5.0327230552563995E-3</v>
      </c>
      <c r="H15" s="69">
        <f t="shared" ca="1" si="2"/>
        <v>0</v>
      </c>
      <c r="I15" s="70" t="str">
        <f t="shared" ca="1" si="3"/>
        <v>(+0.00%)</v>
      </c>
      <c r="J15" s="71" cm="1">
        <f t="array" aca="1" ref="J15" ca="1">(_FV(B15,"Change"))*E15</f>
        <v>-0.88</v>
      </c>
      <c r="K15" s="72" cm="1">
        <f t="array" aca="1" ref="K15" ca="1">_FV(B15,"Change (%)",TRUE)</f>
        <v>-2.5215000000000001E-2</v>
      </c>
      <c r="L15" s="43"/>
    </row>
    <row r="16" spans="1:14" x14ac:dyDescent="0.2">
      <c r="A16" s="64" t="s">
        <v>152</v>
      </c>
      <c r="B16" s="64" t="e" vm="5">
        <v>#VALUE!</v>
      </c>
      <c r="C16" s="65" cm="1">
        <f t="array" aca="1" ref="C16" ca="1">_FV(B16,"Price")</f>
        <v>776.34</v>
      </c>
      <c r="D16" s="66">
        <f t="shared" ca="1" si="4"/>
        <v>776.34</v>
      </c>
      <c r="E16" s="67">
        <v>1</v>
      </c>
      <c r="F16" s="68">
        <f t="shared" ca="1" si="0"/>
        <v>776.34</v>
      </c>
      <c r="G16" s="47">
        <f t="shared" ca="1" si="1"/>
        <v>0.11484727268423731</v>
      </c>
      <c r="H16" s="69">
        <f t="shared" ca="1" si="2"/>
        <v>0</v>
      </c>
      <c r="I16" s="70" t="str">
        <f t="shared" ca="1" si="3"/>
        <v>(+0.00%)</v>
      </c>
      <c r="J16" s="71" cm="1">
        <f t="array" aca="1" ref="J16" ca="1">(_FV(B16,"Change"))*E16</f>
        <v>-2.82</v>
      </c>
      <c r="K16" s="72" cm="1">
        <f t="array" aca="1" ref="K16" ca="1">_FV(B16,"Change (%)",TRUE)</f>
        <v>-3.6189999999999998E-3</v>
      </c>
      <c r="L16" s="43"/>
    </row>
    <row r="17" spans="1:20" x14ac:dyDescent="0.2">
      <c r="A17" s="64" t="s">
        <v>153</v>
      </c>
      <c r="B17" s="64" t="e" vm="6">
        <v>#VALUE!</v>
      </c>
      <c r="C17" s="65" cm="1">
        <f t="array" aca="1" ref="C17" ca="1">_FV(B17,"Price")</f>
        <v>625.58000000000004</v>
      </c>
      <c r="D17" s="66">
        <f t="shared" ca="1" si="4"/>
        <v>625.58000000000004</v>
      </c>
      <c r="E17" s="67">
        <v>1</v>
      </c>
      <c r="F17" s="68">
        <f t="shared" ca="1" si="0"/>
        <v>625.58000000000004</v>
      </c>
      <c r="G17" s="47">
        <f t="shared" ca="1" si="1"/>
        <v>9.2544705729197485E-2</v>
      </c>
      <c r="H17" s="69">
        <f t="shared" ca="1" si="2"/>
        <v>0</v>
      </c>
      <c r="I17" s="70" t="str">
        <f t="shared" ca="1" si="3"/>
        <v>(+0.00%)</v>
      </c>
      <c r="J17" s="71" cm="1">
        <f t="array" aca="1" ref="J17" ca="1">(_FV(B17,"Change"))*E17</f>
        <v>-2.0299999999999998</v>
      </c>
      <c r="K17" s="72" cm="1">
        <f t="array" aca="1" ref="K17" ca="1">_FV(B17,"Change (%)",TRUE)</f>
        <v>-3.2340000000000003E-3</v>
      </c>
      <c r="L17" s="43"/>
    </row>
    <row r="18" spans="1:20" x14ac:dyDescent="0.2">
      <c r="A18" s="64" t="s">
        <v>154</v>
      </c>
      <c r="B18" s="64" t="e" vm="7">
        <v>#VALUE!</v>
      </c>
      <c r="C18" s="65" cm="1">
        <f t="array" aca="1" ref="C18" ca="1">_FV(B18,"Price")</f>
        <v>689.17</v>
      </c>
      <c r="D18" s="66">
        <f t="shared" ca="1" si="4"/>
        <v>689.17</v>
      </c>
      <c r="E18" s="67">
        <v>1</v>
      </c>
      <c r="F18" s="68">
        <f t="shared" ca="1" si="0"/>
        <v>689.17</v>
      </c>
      <c r="G18" s="47">
        <f t="shared" ca="1" si="1"/>
        <v>0.10195184444418144</v>
      </c>
      <c r="H18" s="69">
        <f t="shared" ca="1" si="2"/>
        <v>0</v>
      </c>
      <c r="I18" s="70" t="str">
        <f t="shared" ca="1" si="3"/>
        <v>(+0.00%)</v>
      </c>
      <c r="J18" s="71" cm="1">
        <f t="array" aca="1" ref="J18" ca="1">(_FV(B18,"Change"))*E18</f>
        <v>1.6</v>
      </c>
      <c r="K18" s="72" cm="1">
        <f t="array" aca="1" ref="K18" ca="1">_FV(B18,"Change (%)",TRUE)</f>
        <v>2.3270000000000001E-3</v>
      </c>
      <c r="L18" s="43"/>
    </row>
    <row r="19" spans="1:20" x14ac:dyDescent="0.2">
      <c r="A19" s="64" t="s">
        <v>155</v>
      </c>
      <c r="B19" s="64" t="e" vm="8">
        <v>#VALUE!</v>
      </c>
      <c r="C19" s="65" cm="1">
        <f t="array" aca="1" ref="C19" ca="1">_FV(B19,"Price")</f>
        <v>230.28</v>
      </c>
      <c r="D19" s="66">
        <f t="shared" ca="1" si="4"/>
        <v>230.28</v>
      </c>
      <c r="E19" s="67">
        <v>1</v>
      </c>
      <c r="F19" s="68">
        <f t="shared" ca="1" si="0"/>
        <v>230.28</v>
      </c>
      <c r="G19" s="47">
        <f t="shared" ca="1" si="1"/>
        <v>3.4066298211770832E-2</v>
      </c>
      <c r="H19" s="69">
        <f t="shared" ca="1" si="2"/>
        <v>0</v>
      </c>
      <c r="I19" s="70" t="str">
        <f t="shared" ca="1" si="3"/>
        <v>(+0.00%)</v>
      </c>
      <c r="J19" s="71" cm="1">
        <f t="array" aca="1" ref="J19" ca="1">(_FV(B19,"Change"))*E19</f>
        <v>-1.5</v>
      </c>
      <c r="K19" s="72" cm="1">
        <f t="array" aca="1" ref="K19" ca="1">_FV(B19,"Change (%)",TRUE)</f>
        <v>-6.4720000000000003E-3</v>
      </c>
      <c r="L19" s="43"/>
    </row>
    <row r="20" spans="1:20" x14ac:dyDescent="0.2">
      <c r="A20" s="64" t="s">
        <v>156</v>
      </c>
      <c r="B20" s="64" t="e" vm="9">
        <v>#VALUE!</v>
      </c>
      <c r="C20" s="65" cm="1">
        <f t="array" aca="1" ref="C20" ca="1">_FV(B20,"Price")</f>
        <v>483.47</v>
      </c>
      <c r="D20" s="66">
        <f t="shared" ca="1" si="4"/>
        <v>483.47</v>
      </c>
      <c r="E20" s="67">
        <v>1</v>
      </c>
      <c r="F20" s="68">
        <f t="shared" ca="1" si="0"/>
        <v>483.47</v>
      </c>
      <c r="G20" s="47">
        <f t="shared" ca="1" si="1"/>
        <v>7.1521770003668772E-2</v>
      </c>
      <c r="H20" s="69">
        <f t="shared" ca="1" si="2"/>
        <v>0</v>
      </c>
      <c r="I20" s="70" t="str">
        <f t="shared" ca="1" si="3"/>
        <v>(+0.00%)</v>
      </c>
      <c r="J20" s="71" cm="1">
        <f t="array" aca="1" ref="J20" ca="1">(_FV(B20,"Change"))*E20</f>
        <v>4.91</v>
      </c>
      <c r="K20" s="72" cm="1">
        <f t="array" aca="1" ref="K20" ca="1">_FV(B20,"Change (%)",TRUE)</f>
        <v>1.026E-2</v>
      </c>
      <c r="L20" s="43"/>
    </row>
    <row r="21" spans="1:20" x14ac:dyDescent="0.2">
      <c r="A21" s="64" t="s">
        <v>157</v>
      </c>
      <c r="B21" s="64" t="e" vm="10">
        <v>#VALUE!</v>
      </c>
      <c r="C21" s="65" cm="1">
        <f t="array" aca="1" ref="C21" ca="1">_FV(B21,"Price")</f>
        <v>652.71</v>
      </c>
      <c r="D21" s="66">
        <f t="shared" ca="1" si="4"/>
        <v>652.71</v>
      </c>
      <c r="E21" s="67">
        <v>1</v>
      </c>
      <c r="F21" s="68">
        <f t="shared" ca="1" si="0"/>
        <v>652.71</v>
      </c>
      <c r="G21" s="47">
        <f t="shared" ca="1" si="1"/>
        <v>9.6558161828230585E-2</v>
      </c>
      <c r="H21" s="69">
        <f t="shared" ca="1" si="2"/>
        <v>0</v>
      </c>
      <c r="I21" s="70" t="str">
        <f t="shared" ca="1" si="3"/>
        <v>(+0.00%)</v>
      </c>
      <c r="J21" s="71" cm="1">
        <f t="array" aca="1" ref="J21" ca="1">(_FV(B21,"Change"))*E21</f>
        <v>2.58</v>
      </c>
      <c r="K21" s="72" cm="1">
        <f t="array" aca="1" ref="K21" ca="1">_FV(B21,"Change (%)",TRUE)</f>
        <v>3.9680000000000002E-3</v>
      </c>
      <c r="L21" s="43"/>
    </row>
    <row r="22" spans="1:20" x14ac:dyDescent="0.2">
      <c r="A22" s="64" t="s">
        <v>158</v>
      </c>
      <c r="B22" s="64" t="e" vm="11">
        <v>#VALUE!</v>
      </c>
      <c r="C22" s="65" cm="1">
        <f t="array" aca="1" ref="C22" ca="1">_FV(B22,"Price")</f>
        <v>506.69</v>
      </c>
      <c r="D22" s="66">
        <f t="shared" ca="1" si="4"/>
        <v>506.69</v>
      </c>
      <c r="E22" s="67">
        <v>1</v>
      </c>
      <c r="F22" s="68">
        <f t="shared" ca="1" si="0"/>
        <v>506.69</v>
      </c>
      <c r="G22" s="47">
        <f t="shared" ca="1" si="1"/>
        <v>7.4956803200113609E-2</v>
      </c>
      <c r="H22" s="69">
        <f t="shared" ca="1" si="2"/>
        <v>0</v>
      </c>
      <c r="I22" s="70" t="str">
        <f t="shared" ca="1" si="3"/>
        <v>(+0.00%)</v>
      </c>
      <c r="J22" s="71" cm="1">
        <f t="array" aca="1" ref="J22" ca="1">(_FV(B22,"Change"))*E22</f>
        <v>-1.85</v>
      </c>
      <c r="K22" s="72" cm="1">
        <f t="array" aca="1" ref="K22" ca="1">_FV(B22,"Change (%)",TRUE)</f>
        <v>-3.6380000000000002E-3</v>
      </c>
      <c r="L22" s="43"/>
    </row>
    <row r="23" spans="1:20" x14ac:dyDescent="0.2">
      <c r="A23" s="64" t="s">
        <v>16</v>
      </c>
      <c r="B23" s="64" t="e" vm="12">
        <v>#VALUE!</v>
      </c>
      <c r="C23" s="65" cm="1">
        <f t="array" aca="1" ref="C23" ca="1">_FV(B23,"Price")</f>
        <v>24.19</v>
      </c>
      <c r="D23" s="66">
        <f t="shared" ca="1" si="4"/>
        <v>24.19</v>
      </c>
      <c r="E23" s="67">
        <v>1</v>
      </c>
      <c r="F23" s="68">
        <f t="shared" ca="1" si="0"/>
        <v>24.19</v>
      </c>
      <c r="G23" s="47">
        <f t="shared" ca="1" si="1"/>
        <v>3.5785294152455116E-3</v>
      </c>
      <c r="H23" s="69">
        <f t="shared" ca="1" si="2"/>
        <v>0</v>
      </c>
      <c r="I23" s="70" t="str">
        <f t="shared" ca="1" si="3"/>
        <v>(+0.00%)</v>
      </c>
      <c r="J23" s="71" cm="1">
        <f t="array" aca="1" ref="J23" ca="1">(_FV(B23,"Change"))*E23</f>
        <v>0.37</v>
      </c>
      <c r="K23" s="72" cm="1">
        <f t="array" aca="1" ref="K23" ca="1">_FV(B23,"Change (%)",TRUE)</f>
        <v>1.5532999999999998E-2</v>
      </c>
      <c r="L23" s="43"/>
    </row>
    <row r="24" spans="1:20" x14ac:dyDescent="0.2">
      <c r="A24" s="64" t="s">
        <v>159</v>
      </c>
      <c r="B24" s="64" t="e" vm="13">
        <v>#VALUE!</v>
      </c>
      <c r="C24" s="65" cm="1">
        <f t="array" aca="1" ref="C24" ca="1">_FV(B24,"Price")</f>
        <v>317.38</v>
      </c>
      <c r="D24" s="66">
        <f t="shared" ca="1" si="4"/>
        <v>317.38</v>
      </c>
      <c r="E24" s="67">
        <v>1</v>
      </c>
      <c r="F24" s="68">
        <f t="shared" ca="1" si="0"/>
        <v>317.38</v>
      </c>
      <c r="G24" s="47">
        <f t="shared" ca="1" si="1"/>
        <v>4.6951371054593655E-2</v>
      </c>
      <c r="H24" s="69">
        <f t="shared" ca="1" si="2"/>
        <v>0</v>
      </c>
      <c r="I24" s="70" t="str">
        <f t="shared" ca="1" si="3"/>
        <v>(+0.00%)</v>
      </c>
      <c r="J24" s="71" cm="1">
        <f t="array" aca="1" ref="J24" ca="1">(_FV(B24,"Change"))*E24</f>
        <v>7.27</v>
      </c>
      <c r="K24" s="72" cm="1">
        <f t="array" aca="1" ref="K24" ca="1">_FV(B24,"Change (%)",TRUE)</f>
        <v>2.3443000000000002E-2</v>
      </c>
      <c r="L24" s="43"/>
    </row>
    <row r="25" spans="1:20" x14ac:dyDescent="0.2">
      <c r="A25" s="64" t="s">
        <v>160</v>
      </c>
      <c r="B25" s="64" t="e" vm="14">
        <v>#VALUE!</v>
      </c>
      <c r="C25" s="65" cm="1">
        <f t="array" aca="1" ref="C25" ca="1">_FV(B25,"Price")</f>
        <v>40.22</v>
      </c>
      <c r="D25" s="66">
        <f t="shared" ca="1" si="4"/>
        <v>40.22</v>
      </c>
      <c r="E25" s="67">
        <v>1</v>
      </c>
      <c r="F25" s="68">
        <f t="shared" ca="1" si="0"/>
        <v>40.22</v>
      </c>
      <c r="G25" s="47">
        <f t="shared" ca="1" si="1"/>
        <v>5.9499153816111811E-3</v>
      </c>
      <c r="H25" s="69">
        <f t="shared" ca="1" si="2"/>
        <v>0</v>
      </c>
      <c r="I25" s="70" t="str">
        <f t="shared" ca="1" si="3"/>
        <v>(+0.00%)</v>
      </c>
      <c r="J25" s="71" cm="1">
        <f t="array" aca="1" ref="J25" ca="1">(_FV(B25,"Change"))*E25</f>
        <v>0.3</v>
      </c>
      <c r="K25" s="72" cm="1">
        <f t="array" aca="1" ref="K25" ca="1">_FV(B25,"Change (%)",TRUE)</f>
        <v>7.5149999999999991E-3</v>
      </c>
      <c r="L25" s="43"/>
    </row>
    <row r="26" spans="1:20" x14ac:dyDescent="0.2">
      <c r="A26" s="64" t="s">
        <v>161</v>
      </c>
      <c r="B26" s="64" t="e" vm="15">
        <v>#VALUE!</v>
      </c>
      <c r="C26" s="65" cm="1">
        <f t="array" aca="1" ref="C26" ca="1">_FV(B26,"Price")</f>
        <v>123.38</v>
      </c>
      <c r="D26" s="66">
        <f t="shared" ca="1" si="4"/>
        <v>123.38</v>
      </c>
      <c r="E26" s="67">
        <v>1</v>
      </c>
      <c r="F26" s="68">
        <f t="shared" ca="1" si="0"/>
        <v>123.38</v>
      </c>
      <c r="G26" s="47">
        <f t="shared" ca="1" si="1"/>
        <v>1.8252127294460158E-2</v>
      </c>
      <c r="H26" s="69">
        <f t="shared" ca="1" si="2"/>
        <v>0</v>
      </c>
      <c r="I26" s="70" t="str">
        <f t="shared" ca="1" si="3"/>
        <v>(+0.00%)</v>
      </c>
      <c r="J26" s="71" cm="1">
        <f t="array" aca="1" ref="J26" ca="1">(_FV(B26,"Change"))*E26</f>
        <v>-12.28</v>
      </c>
      <c r="K26" s="72" cm="1">
        <f t="array" aca="1" ref="K26" ca="1">_FV(B26,"Change (%)",TRUE)</f>
        <v>-9.0519999999999989E-2</v>
      </c>
      <c r="L26" s="43"/>
    </row>
    <row r="27" spans="1:20" x14ac:dyDescent="0.2">
      <c r="A27" s="64" t="s">
        <v>162</v>
      </c>
      <c r="B27" s="64" t="e" vm="16">
        <v>#VALUE!</v>
      </c>
      <c r="C27" s="65" cm="1">
        <f t="array" aca="1" ref="C27" ca="1">_FV(B27,"Price")</f>
        <v>27.07</v>
      </c>
      <c r="D27" s="66">
        <f t="shared" ca="1" si="4"/>
        <v>27.07</v>
      </c>
      <c r="E27" s="67">
        <v>1</v>
      </c>
      <c r="F27" s="68">
        <f t="shared" ca="1" si="0"/>
        <v>27.07</v>
      </c>
      <c r="G27" s="47">
        <f t="shared" ca="1" si="1"/>
        <v>4.0045800442619264E-3</v>
      </c>
      <c r="H27" s="69">
        <f t="shared" ca="1" si="2"/>
        <v>0</v>
      </c>
      <c r="I27" s="70" t="str">
        <f t="shared" ca="1" si="3"/>
        <v>(+0.00%)</v>
      </c>
      <c r="J27" s="71" cm="1">
        <f t="array" aca="1" ref="J27" ca="1">(_FV(B27,"Change"))*E27</f>
        <v>-0.02</v>
      </c>
      <c r="K27" s="72" cm="1">
        <f t="array" aca="1" ref="K27" ca="1">_FV(B27,"Change (%)",TRUE)</f>
        <v>-7.3830000000000011E-4</v>
      </c>
      <c r="L27" s="43"/>
    </row>
    <row r="28" spans="1:20" x14ac:dyDescent="0.2">
      <c r="A28" s="64" t="s">
        <v>163</v>
      </c>
      <c r="B28" s="64" t="e" vm="17">
        <v>#VALUE!</v>
      </c>
      <c r="C28" s="65" cm="1">
        <f t="array" aca="1" ref="C28" ca="1">_FV(B28,"Price")</f>
        <v>336.73</v>
      </c>
      <c r="D28" s="66">
        <f t="shared" ca="1" si="4"/>
        <v>336.73</v>
      </c>
      <c r="E28" s="67">
        <v>1</v>
      </c>
      <c r="F28" s="68">
        <f t="shared" ca="1" si="0"/>
        <v>336.73</v>
      </c>
      <c r="G28" s="47">
        <f t="shared" ca="1" si="1"/>
        <v>4.9813898718297694E-2</v>
      </c>
      <c r="H28" s="69">
        <f t="shared" ca="1" si="2"/>
        <v>0</v>
      </c>
      <c r="I28" s="70" t="str">
        <f t="shared" ca="1" si="3"/>
        <v>(+0.00%)</v>
      </c>
      <c r="J28" s="71" cm="1">
        <f t="array" aca="1" ref="J28" ca="1">(_FV(B28,"Change"))*E28</f>
        <v>8.36</v>
      </c>
      <c r="K28" s="72" cm="1">
        <f t="array" aca="1" ref="K28" ca="1">_FV(B28,"Change (%)",TRUE)</f>
        <v>2.5458999999999999E-2</v>
      </c>
      <c r="L28" s="43"/>
    </row>
    <row r="29" spans="1:20" x14ac:dyDescent="0.2">
      <c r="A29" s="64" t="s">
        <v>164</v>
      </c>
      <c r="B29" s="64" t="e" vm="18">
        <v>#VALUE!</v>
      </c>
      <c r="C29" s="65" cm="1">
        <f t="array" aca="1" ref="C29" ca="1">_FV(B29,"Price")</f>
        <v>7.05</v>
      </c>
      <c r="D29" s="66">
        <f t="shared" ca="1" si="4"/>
        <v>7.05</v>
      </c>
      <c r="E29" s="67">
        <v>1</v>
      </c>
      <c r="F29" s="68">
        <f t="shared" ca="1" si="0"/>
        <v>7.05</v>
      </c>
      <c r="G29" s="47">
        <f t="shared" ca="1" si="1"/>
        <v>1.0429364356130987E-3</v>
      </c>
      <c r="H29" s="69">
        <f t="shared" ca="1" si="2"/>
        <v>0</v>
      </c>
      <c r="I29" s="70" t="str">
        <f t="shared" ca="1" si="3"/>
        <v>(+0.00%)</v>
      </c>
      <c r="J29" s="71" cm="1">
        <f t="array" aca="1" ref="J29" ca="1">(_FV(B29,"Change"))*E29</f>
        <v>0.05</v>
      </c>
      <c r="K29" s="72" cm="1">
        <f t="array" aca="1" ref="K29" ca="1">_FV(B29,"Change (%)",TRUE)</f>
        <v>7.143E-3</v>
      </c>
      <c r="L29" s="43"/>
    </row>
    <row r="30" spans="1:20" x14ac:dyDescent="0.2">
      <c r="A30" s="64" t="s">
        <v>165</v>
      </c>
      <c r="B30" s="64" t="e" vm="19">
        <v>#VALUE!</v>
      </c>
      <c r="C30" s="65" cm="1">
        <f t="array" aca="1" ref="C30" ca="1">_FV(B30,"Price")</f>
        <v>174.63</v>
      </c>
      <c r="D30" s="66">
        <f t="shared" ca="1" si="4"/>
        <v>174.63</v>
      </c>
      <c r="E30" s="67">
        <v>1</v>
      </c>
      <c r="F30" s="68">
        <f t="shared" ca="1" si="0"/>
        <v>174.63</v>
      </c>
      <c r="G30" s="47">
        <f t="shared" ca="1" si="1"/>
        <v>2.5833757411505731E-2</v>
      </c>
      <c r="H30" s="69">
        <f t="shared" ca="1" si="2"/>
        <v>0</v>
      </c>
      <c r="I30" s="70" t="str">
        <f t="shared" ca="1" si="3"/>
        <v>(+0.00%)</v>
      </c>
      <c r="J30" s="71" cm="1">
        <f t="array" aca="1" ref="J30" ca="1">(_FV(B30,"Change"))*E30</f>
        <v>9.4600000000000009</v>
      </c>
      <c r="K30" s="72" cm="1">
        <f t="array" aca="1" ref="K30" ca="1">_FV(B30,"Change (%)",TRUE)</f>
        <v>5.7274000000000005E-2</v>
      </c>
      <c r="L30" s="43"/>
    </row>
    <row r="31" spans="1:20" x14ac:dyDescent="0.2">
      <c r="A31" s="64" t="s">
        <v>166</v>
      </c>
      <c r="B31" s="64" t="e" vm="20">
        <v>#VALUE!</v>
      </c>
      <c r="C31" s="65" cm="1">
        <f t="array" aca="1" ref="C31" ca="1">_FV(B31,"Price")</f>
        <v>93.85</v>
      </c>
      <c r="D31" s="66">
        <f t="shared" ca="1" si="4"/>
        <v>93.85</v>
      </c>
      <c r="E31" s="67">
        <v>1</v>
      </c>
      <c r="F31" s="68">
        <f t="shared" ca="1" si="0"/>
        <v>93.85</v>
      </c>
      <c r="G31" s="47">
        <f t="shared" ca="1" si="1"/>
        <v>1.3883629004580043E-2</v>
      </c>
      <c r="H31" s="69">
        <f t="shared" ca="1" si="2"/>
        <v>0</v>
      </c>
      <c r="I31" s="70" t="str">
        <f t="shared" ca="1" si="3"/>
        <v>(+0.00%)</v>
      </c>
      <c r="J31" s="71" cm="1">
        <f t="array" aca="1" ref="J31" ca="1">(_FV(B31,"Change"))*E31</f>
        <v>1.93</v>
      </c>
      <c r="K31" s="72" cm="1">
        <f t="array" aca="1" ref="K31" ca="1">_FV(B31,"Change (%)",TRUE)</f>
        <v>2.0996999999999998E-2</v>
      </c>
      <c r="L31" s="43"/>
      <c r="T31" s="73"/>
    </row>
    <row r="32" spans="1:20" x14ac:dyDescent="0.2">
      <c r="A32" s="64" t="s">
        <v>167</v>
      </c>
      <c r="B32" s="64" t="e" vm="21">
        <v>#VALUE!</v>
      </c>
      <c r="C32" s="65" cm="1">
        <f t="array" aca="1" ref="C32" ca="1">_FV(B32,"Price")</f>
        <v>406.37</v>
      </c>
      <c r="D32" s="66">
        <f t="shared" ca="1" si="4"/>
        <v>406.37</v>
      </c>
      <c r="E32" s="67">
        <v>1</v>
      </c>
      <c r="F32" s="68">
        <f t="shared" ca="1" si="0"/>
        <v>406.37</v>
      </c>
      <c r="G32" s="47">
        <f t="shared" ca="1" si="1"/>
        <v>6.0116039622708499E-2</v>
      </c>
      <c r="H32" s="69">
        <f t="shared" ca="1" si="2"/>
        <v>0</v>
      </c>
      <c r="I32" s="70" t="str">
        <f t="shared" ca="1" si="3"/>
        <v>(+0.00%)</v>
      </c>
      <c r="J32" s="71" cm="1">
        <f t="array" aca="1" ref="J32" ca="1">(_FV(B32,"Change"))*E32</f>
        <v>-6.6</v>
      </c>
      <c r="K32" s="72" cm="1">
        <f t="array" aca="1" ref="K32" ca="1">_FV(B32,"Change (%)",TRUE)</f>
        <v>-1.5982E-2</v>
      </c>
      <c r="L32" s="43"/>
    </row>
    <row r="33" spans="1:12" x14ac:dyDescent="0.2">
      <c r="A33" s="64" t="s">
        <v>168</v>
      </c>
      <c r="B33" s="64" t="e" vm="22">
        <v>#VALUE!</v>
      </c>
      <c r="C33" s="65" cm="1">
        <f t="array" aca="1" ref="C33" ca="1">_FV(B33,"Price")</f>
        <v>304.85000000000002</v>
      </c>
      <c r="D33" s="66">
        <f t="shared" ca="1" si="4"/>
        <v>304.85000000000002</v>
      </c>
      <c r="E33" s="67">
        <v>1</v>
      </c>
      <c r="F33" s="68">
        <f t="shared" ca="1" si="0"/>
        <v>304.85000000000002</v>
      </c>
      <c r="G33" s="47">
        <f t="shared" ca="1" si="1"/>
        <v>4.509775494987988E-2</v>
      </c>
      <c r="H33" s="69">
        <f t="shared" ca="1" si="2"/>
        <v>0</v>
      </c>
      <c r="I33" s="70" t="str">
        <f t="shared" ca="1" si="3"/>
        <v>(+0.00%)</v>
      </c>
      <c r="J33" s="71" cm="1">
        <f t="array" aca="1" ref="J33" ca="1">(_FV(B33,"Change"))*E33</f>
        <v>-4.4930000000000003</v>
      </c>
      <c r="K33" s="72" cm="1">
        <f t="array" aca="1" ref="K33" ca="1">_FV(B33,"Change (%)",TRUE)</f>
        <v>-1.4523999999999999E-2</v>
      </c>
      <c r="L33" s="43"/>
    </row>
    <row r="34" spans="1:12" x14ac:dyDescent="0.2">
      <c r="A34" s="64" t="s">
        <v>169</v>
      </c>
      <c r="B34" s="64" t="e" vm="23">
        <v>#VALUE!</v>
      </c>
      <c r="C34" s="65" cm="1">
        <f t="array" aca="1" ref="C34" ca="1">_FV(B34,"Price")</f>
        <v>134.38999999999999</v>
      </c>
      <c r="D34" s="66">
        <f t="shared" ca="1" si="4"/>
        <v>134.38999999999999</v>
      </c>
      <c r="E34" s="67">
        <v>1</v>
      </c>
      <c r="F34" s="68">
        <f t="shared" ca="1" si="0"/>
        <v>134.38999999999999</v>
      </c>
      <c r="G34" s="47">
        <f t="shared" ca="1" si="1"/>
        <v>1.9880883344970825E-2</v>
      </c>
      <c r="H34" s="69">
        <f t="shared" ca="1" si="2"/>
        <v>0</v>
      </c>
      <c r="I34" s="70" t="str">
        <f t="shared" ca="1" si="3"/>
        <v>(+0.00%)</v>
      </c>
      <c r="J34" s="71" cm="1">
        <f t="array" aca="1" ref="J34" ca="1">(_FV(B34,"Change"))*E34</f>
        <v>2.0299999999999998</v>
      </c>
      <c r="K34" s="72" cm="1">
        <f t="array" aca="1" ref="K34" ca="1">_FV(B34,"Change (%)",TRUE)</f>
        <v>1.5337E-2</v>
      </c>
      <c r="L34" s="43"/>
    </row>
    <row r="35" spans="1:12" x14ac:dyDescent="0.2">
      <c r="A35" s="41" t="s">
        <v>182</v>
      </c>
      <c r="B35" s="58">
        <f ca="1">SUM(H12:H34)</f>
        <v>0</v>
      </c>
      <c r="L35" s="43"/>
    </row>
    <row r="36" spans="1:12" x14ac:dyDescent="0.2">
      <c r="A36" s="74" t="s">
        <v>183</v>
      </c>
      <c r="B36" s="75">
        <v>1</v>
      </c>
      <c r="L36" s="43"/>
    </row>
    <row r="37" spans="1:12" x14ac:dyDescent="0.2">
      <c r="A37" s="46"/>
      <c r="L37" s="43"/>
    </row>
    <row r="38" spans="1:12" x14ac:dyDescent="0.2">
      <c r="A38" s="46"/>
      <c r="F38" s="73"/>
      <c r="L38" s="43"/>
    </row>
    <row r="39" spans="1:12" x14ac:dyDescent="0.2">
      <c r="A39" s="46"/>
      <c r="L39" s="43"/>
    </row>
    <row r="40" spans="1:12" x14ac:dyDescent="0.2">
      <c r="A40" s="46"/>
      <c r="L40" s="43"/>
    </row>
    <row r="41" spans="1:12" x14ac:dyDescent="0.2">
      <c r="A41" s="46"/>
      <c r="L41" s="43"/>
    </row>
    <row r="42" spans="1:12" x14ac:dyDescent="0.2">
      <c r="A42" s="46"/>
      <c r="L42" s="43"/>
    </row>
    <row r="43" spans="1:12" x14ac:dyDescent="0.2">
      <c r="A43" s="46"/>
      <c r="L43" s="43"/>
    </row>
    <row r="44" spans="1:12" x14ac:dyDescent="0.2">
      <c r="A44" s="46"/>
      <c r="L44" s="43"/>
    </row>
    <row r="45" spans="1:12" x14ac:dyDescent="0.2">
      <c r="A45" s="46"/>
      <c r="L45" s="43"/>
    </row>
    <row r="46" spans="1:12" x14ac:dyDescent="0.2">
      <c r="A46" s="46"/>
      <c r="L46" s="43"/>
    </row>
    <row r="47" spans="1:12" x14ac:dyDescent="0.2">
      <c r="A47" s="46"/>
      <c r="L47" s="43"/>
    </row>
    <row r="48" spans="1:12" x14ac:dyDescent="0.2">
      <c r="A48" s="46"/>
      <c r="L48" s="43"/>
    </row>
    <row r="49" spans="1:15" x14ac:dyDescent="0.2">
      <c r="A49" s="46"/>
      <c r="L49" s="43"/>
    </row>
    <row r="50" spans="1:15" x14ac:dyDescent="0.2">
      <c r="A50" s="46"/>
      <c r="L50" s="43"/>
    </row>
    <row r="51" spans="1:15" x14ac:dyDescent="0.2">
      <c r="A51" s="46"/>
      <c r="L51" s="43"/>
    </row>
    <row r="52" spans="1:15" x14ac:dyDescent="0.2">
      <c r="A52" s="46"/>
      <c r="L52" s="43"/>
    </row>
    <row r="53" spans="1:15" x14ac:dyDescent="0.2">
      <c r="A53" s="46"/>
      <c r="L53" s="43"/>
    </row>
    <row r="54" spans="1:15" x14ac:dyDescent="0.2">
      <c r="A54" s="46"/>
      <c r="L54" s="43"/>
    </row>
    <row r="55" spans="1:15" x14ac:dyDescent="0.2">
      <c r="A55" s="46"/>
      <c r="L55" s="43"/>
    </row>
    <row r="56" spans="1:15" x14ac:dyDescent="0.2">
      <c r="A56" s="46"/>
      <c r="L56" s="43"/>
    </row>
    <row r="57" spans="1:15" x14ac:dyDescent="0.2">
      <c r="A57" s="46"/>
      <c r="L57" s="43"/>
    </row>
    <row r="58" spans="1:15" x14ac:dyDescent="0.2">
      <c r="A58" s="46"/>
      <c r="L58" s="43"/>
      <c r="O58" s="34" t="s">
        <v>178</v>
      </c>
    </row>
    <row r="59" spans="1:15" x14ac:dyDescent="0.2">
      <c r="A59" s="46"/>
      <c r="L59" s="43"/>
    </row>
    <row r="60" spans="1:15" x14ac:dyDescent="0.2">
      <c r="A60" s="46"/>
      <c r="L60" s="43"/>
    </row>
    <row r="61" spans="1:15" x14ac:dyDescent="0.2">
      <c r="A61" s="46"/>
      <c r="L61" s="43"/>
    </row>
    <row r="62" spans="1:15" x14ac:dyDescent="0.2">
      <c r="A62" s="46"/>
      <c r="L62" s="43"/>
    </row>
    <row r="63" spans="1:15" x14ac:dyDescent="0.2">
      <c r="A63" s="46"/>
      <c r="L63" s="43"/>
    </row>
    <row r="64" spans="1:15" x14ac:dyDescent="0.2">
      <c r="A64" s="46"/>
      <c r="L64" s="43"/>
    </row>
    <row r="65" spans="1:13" x14ac:dyDescent="0.2">
      <c r="A65" s="46"/>
      <c r="L65" s="43"/>
    </row>
    <row r="66" spans="1:13" x14ac:dyDescent="0.2">
      <c r="A66" s="46"/>
      <c r="L66" s="43"/>
    </row>
    <row r="67" spans="1:13" x14ac:dyDescent="0.2">
      <c r="A67" s="46"/>
      <c r="L67" s="43"/>
    </row>
    <row r="68" spans="1:13" x14ac:dyDescent="0.2">
      <c r="A68" s="46"/>
      <c r="L68" s="43"/>
    </row>
    <row r="69" spans="1:13" x14ac:dyDescent="0.2">
      <c r="A69" s="46"/>
      <c r="L69" s="43"/>
    </row>
    <row r="70" spans="1:13" x14ac:dyDescent="0.2">
      <c r="A70" s="46"/>
      <c r="L70" s="43"/>
    </row>
    <row r="71" spans="1:13" x14ac:dyDescent="0.2">
      <c r="A71" s="46"/>
      <c r="L71" s="43"/>
    </row>
    <row r="72" spans="1:13" x14ac:dyDescent="0.2">
      <c r="A72" s="46"/>
      <c r="L72" s="43"/>
    </row>
    <row r="73" spans="1:13" x14ac:dyDescent="0.2">
      <c r="A73" s="46"/>
      <c r="L73" s="43"/>
    </row>
    <row r="74" spans="1:13" x14ac:dyDescent="0.2">
      <c r="A74" s="46"/>
      <c r="L74" s="43"/>
    </row>
    <row r="75" spans="1:13" x14ac:dyDescent="0.2">
      <c r="A75" s="46"/>
      <c r="L75" s="43"/>
    </row>
    <row r="76" spans="1:13" x14ac:dyDescent="0.2">
      <c r="A76" s="46"/>
      <c r="L76" s="43"/>
    </row>
    <row r="77" spans="1:13" x14ac:dyDescent="0.2">
      <c r="A77" s="46"/>
      <c r="L77" s="43"/>
    </row>
    <row r="78" spans="1:13" ht="19" x14ac:dyDescent="0.25">
      <c r="A78" s="378" t="s">
        <v>185</v>
      </c>
      <c r="B78" s="379"/>
      <c r="C78" s="379"/>
      <c r="D78" s="379"/>
      <c r="E78" s="379"/>
      <c r="F78" s="379"/>
      <c r="G78" s="379"/>
      <c r="H78" s="379"/>
      <c r="I78" s="379"/>
      <c r="J78" s="379"/>
      <c r="K78" s="379"/>
      <c r="L78" s="380"/>
      <c r="M78" s="33"/>
    </row>
    <row r="79" spans="1:13" ht="16" x14ac:dyDescent="0.2">
      <c r="A79" s="35"/>
      <c r="B79" s="36"/>
      <c r="C79" s="36"/>
      <c r="D79" s="36"/>
      <c r="E79" s="36"/>
      <c r="F79" s="36"/>
      <c r="G79" s="36"/>
      <c r="H79" s="36"/>
      <c r="I79" s="36"/>
      <c r="J79" s="36"/>
      <c r="K79" s="36"/>
      <c r="L79" s="37"/>
      <c r="M79" s="33"/>
    </row>
    <row r="80" spans="1:13" ht="16" x14ac:dyDescent="0.2">
      <c r="A80" s="39" t="s">
        <v>176</v>
      </c>
      <c r="B80" s="40">
        <v>343.83</v>
      </c>
      <c r="D80" s="41" t="s">
        <v>25</v>
      </c>
      <c r="E80" s="42">
        <f>B80</f>
        <v>343.83</v>
      </c>
      <c r="L80" s="43"/>
    </row>
    <row r="81" spans="1:12" ht="16" x14ac:dyDescent="0.2">
      <c r="A81" s="44" t="s">
        <v>20</v>
      </c>
      <c r="B81" s="79" t="str">
        <f>IF(B92&gt;=0, "+" &amp; TEXT(B92,"$#,##0.00") &amp; " (+" &amp; TEXT(B92/B82,"0.00%") &amp; ")", TEXT(B92,"$#,##0.00") &amp; " (" &amp; TEXT(B92/B82,"0.00%") &amp; ")")</f>
        <v>+$20.83 (+6.45%)</v>
      </c>
      <c r="D81" s="46" t="s">
        <v>21</v>
      </c>
      <c r="E81" s="47">
        <f ca="1">B87/B80</f>
        <v>0.16807724747695083</v>
      </c>
      <c r="L81" s="43"/>
    </row>
    <row r="82" spans="1:12" ht="16" x14ac:dyDescent="0.2">
      <c r="A82" s="51" t="s">
        <v>190</v>
      </c>
      <c r="B82" s="80">
        <v>323</v>
      </c>
      <c r="D82" s="50" t="s">
        <v>188</v>
      </c>
      <c r="E82" s="47">
        <f ca="1">1-E81</f>
        <v>0.83192275252304915</v>
      </c>
      <c r="L82" s="43"/>
    </row>
    <row r="83" spans="1:12" x14ac:dyDescent="0.2">
      <c r="A83" s="46"/>
      <c r="L83" s="43"/>
    </row>
    <row r="84" spans="1:12" x14ac:dyDescent="0.2">
      <c r="A84" s="46"/>
      <c r="C84" s="81"/>
      <c r="L84" s="43"/>
    </row>
    <row r="85" spans="1:12" x14ac:dyDescent="0.2">
      <c r="A85" s="46"/>
      <c r="L85" s="43"/>
    </row>
    <row r="86" spans="1:12" x14ac:dyDescent="0.2">
      <c r="A86" s="54" t="s">
        <v>171</v>
      </c>
      <c r="B86" s="55" t="s">
        <v>179</v>
      </c>
      <c r="G86" s="56"/>
      <c r="L86" s="43"/>
    </row>
    <row r="87" spans="1:12" x14ac:dyDescent="0.2">
      <c r="A87" s="57">
        <v>2</v>
      </c>
      <c r="B87" s="75">
        <f ca="1">F89</f>
        <v>57.79</v>
      </c>
      <c r="L87" s="43"/>
    </row>
    <row r="88" spans="1:12" x14ac:dyDescent="0.2">
      <c r="A88" s="59" t="s">
        <v>147</v>
      </c>
      <c r="B88" s="59" t="s">
        <v>17</v>
      </c>
      <c r="C88" s="60" t="s">
        <v>9</v>
      </c>
      <c r="D88" s="60" t="s">
        <v>19</v>
      </c>
      <c r="E88" s="60" t="s">
        <v>18</v>
      </c>
      <c r="F88" s="60" t="s">
        <v>21</v>
      </c>
      <c r="G88" s="60" t="s">
        <v>180</v>
      </c>
      <c r="H88" s="61" t="s">
        <v>174</v>
      </c>
      <c r="I88" s="62"/>
      <c r="J88" s="61" t="s">
        <v>175</v>
      </c>
      <c r="K88" s="63"/>
      <c r="L88" s="43"/>
    </row>
    <row r="89" spans="1:12" x14ac:dyDescent="0.2">
      <c r="A89" s="64" t="s">
        <v>187</v>
      </c>
      <c r="B89" s="64" t="e" vm="24">
        <v>#VALUE!</v>
      </c>
      <c r="C89" s="82" cm="1">
        <f t="array" aca="1" ref="C89" ca="1">_FV(B89,"Price")</f>
        <v>57.79</v>
      </c>
      <c r="D89" s="83">
        <f ca="1">C89</f>
        <v>57.79</v>
      </c>
      <c r="E89" s="84">
        <v>1</v>
      </c>
      <c r="F89" s="83">
        <f t="shared" ref="F89" ca="1" si="5">E89*C89</f>
        <v>57.79</v>
      </c>
      <c r="G89" s="47">
        <f ca="1">F89/$B$80</f>
        <v>0.16807724747695083</v>
      </c>
      <c r="H89" s="69">
        <f ca="1">(C89 - D89) * E89</f>
        <v>0</v>
      </c>
      <c r="I89" s="70" t="str">
        <f ca="1">IF((C89-D89)/D89&lt;0,
"(" &amp; TEXT((C89-D89)/D89,"0.00%") &amp; ")",
"(+" &amp; TEXT((C89-D89)/D89,"0.00%") &amp; ")")</f>
        <v>(+0.00%)</v>
      </c>
      <c r="J89" s="71" cm="1">
        <f t="array" aca="1" ref="J89" ca="1">(_FV(B89,"Change"))*E89</f>
        <v>0.38</v>
      </c>
      <c r="K89" s="72" cm="1">
        <f t="array" aca="1" ref="K89" ca="1">_FV(B89,"Change (%)",TRUE)</f>
        <v>6.6190000000000008E-3</v>
      </c>
      <c r="L89" s="43"/>
    </row>
    <row r="90" spans="1:12" x14ac:dyDescent="0.2">
      <c r="A90" s="64" t="s">
        <v>188</v>
      </c>
      <c r="B90" s="85" t="s">
        <v>188</v>
      </c>
      <c r="C90" s="86" t="s">
        <v>189</v>
      </c>
      <c r="D90" s="87" t="s">
        <v>189</v>
      </c>
      <c r="E90" s="85" t="s">
        <v>189</v>
      </c>
      <c r="F90" s="83">
        <v>133</v>
      </c>
      <c r="G90" s="47">
        <f>F90/$B$80</f>
        <v>0.38681906756245821</v>
      </c>
      <c r="H90" s="69" t="s">
        <v>189</v>
      </c>
      <c r="I90" s="70"/>
      <c r="J90" s="69" t="s">
        <v>189</v>
      </c>
      <c r="K90" s="72"/>
      <c r="L90" s="43"/>
    </row>
    <row r="91" spans="1:12" x14ac:dyDescent="0.2">
      <c r="A91" s="64"/>
      <c r="B91" s="64"/>
      <c r="C91" s="82"/>
      <c r="D91" s="83"/>
      <c r="E91" s="67"/>
      <c r="F91" s="83"/>
      <c r="G91" s="47"/>
      <c r="H91" s="69"/>
      <c r="I91" s="70"/>
      <c r="J91" s="71"/>
      <c r="K91" s="72"/>
      <c r="L91" s="43"/>
    </row>
    <row r="92" spans="1:12" x14ac:dyDescent="0.2">
      <c r="A92" s="41" t="s">
        <v>182</v>
      </c>
      <c r="B92" s="75">
        <f>B80-B82</f>
        <v>20.829999999999984</v>
      </c>
      <c r="L92" s="43"/>
    </row>
    <row r="93" spans="1:12" x14ac:dyDescent="0.2">
      <c r="A93" s="46"/>
      <c r="L93" s="43"/>
    </row>
    <row r="94" spans="1:12" x14ac:dyDescent="0.2">
      <c r="A94" s="46"/>
      <c r="L94" s="43"/>
    </row>
    <row r="95" spans="1:12" x14ac:dyDescent="0.2">
      <c r="A95" s="46"/>
      <c r="L95" s="43"/>
    </row>
    <row r="96" spans="1:12" x14ac:dyDescent="0.2">
      <c r="A96" s="46"/>
      <c r="L96" s="43"/>
    </row>
    <row r="97" spans="1:12" x14ac:dyDescent="0.2">
      <c r="A97" s="46"/>
      <c r="L97" s="43"/>
    </row>
    <row r="98" spans="1:12" x14ac:dyDescent="0.2">
      <c r="A98" s="46"/>
      <c r="L98" s="43"/>
    </row>
    <row r="99" spans="1:12" x14ac:dyDescent="0.2">
      <c r="A99" s="46"/>
      <c r="L99" s="43"/>
    </row>
    <row r="100" spans="1:12" x14ac:dyDescent="0.2">
      <c r="A100" s="46"/>
      <c r="L100" s="43"/>
    </row>
    <row r="101" spans="1:12" x14ac:dyDescent="0.2">
      <c r="A101" s="46"/>
      <c r="L101" s="43"/>
    </row>
    <row r="102" spans="1:12" x14ac:dyDescent="0.2">
      <c r="A102" s="46"/>
      <c r="L102" s="43"/>
    </row>
    <row r="103" spans="1:12" x14ac:dyDescent="0.2">
      <c r="A103" s="46"/>
      <c r="L103" s="43"/>
    </row>
    <row r="104" spans="1:12" x14ac:dyDescent="0.2">
      <c r="A104" s="46"/>
      <c r="L104" s="43"/>
    </row>
    <row r="105" spans="1:12" x14ac:dyDescent="0.2">
      <c r="A105" s="46"/>
      <c r="L105" s="43"/>
    </row>
    <row r="106" spans="1:12" x14ac:dyDescent="0.2">
      <c r="A106" s="46"/>
      <c r="L106" s="43"/>
    </row>
    <row r="107" spans="1:12" x14ac:dyDescent="0.2">
      <c r="A107" s="46"/>
      <c r="L107" s="43"/>
    </row>
    <row r="108" spans="1:12" x14ac:dyDescent="0.2">
      <c r="A108" s="46"/>
      <c r="L108" s="43"/>
    </row>
    <row r="109" spans="1:12" x14ac:dyDescent="0.2">
      <c r="A109" s="46"/>
      <c r="L109" s="43"/>
    </row>
    <row r="110" spans="1:12" x14ac:dyDescent="0.2">
      <c r="A110" s="46"/>
      <c r="L110" s="43"/>
    </row>
    <row r="111" spans="1:12" x14ac:dyDescent="0.2">
      <c r="A111" s="46"/>
      <c r="L111" s="43"/>
    </row>
    <row r="112" spans="1:12" x14ac:dyDescent="0.2">
      <c r="A112" s="46"/>
      <c r="L112" s="43"/>
    </row>
    <row r="113" spans="1:12" x14ac:dyDescent="0.2">
      <c r="A113" s="46"/>
      <c r="L113" s="43"/>
    </row>
    <row r="114" spans="1:12" x14ac:dyDescent="0.2">
      <c r="A114" s="46"/>
      <c r="L114" s="43"/>
    </row>
    <row r="115" spans="1:12" x14ac:dyDescent="0.2">
      <c r="A115" s="46"/>
      <c r="L115" s="43"/>
    </row>
    <row r="116" spans="1:12" x14ac:dyDescent="0.2">
      <c r="A116" s="46"/>
      <c r="L116" s="43"/>
    </row>
    <row r="117" spans="1:12" x14ac:dyDescent="0.2">
      <c r="A117" s="46"/>
      <c r="L117" s="43"/>
    </row>
    <row r="118" spans="1:12" x14ac:dyDescent="0.2">
      <c r="A118" s="46"/>
      <c r="L118" s="43"/>
    </row>
    <row r="119" spans="1:12" x14ac:dyDescent="0.2">
      <c r="A119" s="46"/>
      <c r="L119" s="43"/>
    </row>
    <row r="120" spans="1:12" x14ac:dyDescent="0.2">
      <c r="A120" s="50"/>
      <c r="B120" s="88"/>
      <c r="C120" s="88"/>
      <c r="D120" s="88"/>
      <c r="E120" s="88"/>
      <c r="F120" s="88"/>
      <c r="G120" s="88"/>
      <c r="H120" s="88"/>
      <c r="I120" s="88"/>
      <c r="J120" s="88"/>
      <c r="K120" s="88"/>
      <c r="L120" s="89"/>
    </row>
  </sheetData>
  <sheetProtection algorithmName="SHA-512" hashValue="pVJ4XaEXTD3Pvl5GVDoUT4eR+htixUfdJhHcFRaD16jk/MRKkV696rxnJgBBCrVG3l+9lvvA57AdxRadiBhBrw==" saltValue="LxUqrj34TSNTxSIdajkJBg==" spinCount="100000" sheet="1" objects="1" scenarios="1"/>
  <mergeCells count="2">
    <mergeCell ref="A1:L1"/>
    <mergeCell ref="A78:L78"/>
  </mergeCells>
  <conditionalFormatting sqref="B4">
    <cfRule type="cellIs" dxfId="75" priority="30" operator="greaterThan">
      <formula>0</formula>
    </cfRule>
  </conditionalFormatting>
  <conditionalFormatting sqref="B4:B5">
    <cfRule type="cellIs" dxfId="74" priority="23" operator="lessThan">
      <formula>0</formula>
    </cfRule>
  </conditionalFormatting>
  <conditionalFormatting sqref="B5">
    <cfRule type="cellIs" dxfId="73" priority="24" operator="greaterThan">
      <formula>0</formula>
    </cfRule>
  </conditionalFormatting>
  <conditionalFormatting sqref="B35">
    <cfRule type="cellIs" dxfId="72" priority="43" operator="greaterThan">
      <formula>0</formula>
    </cfRule>
  </conditionalFormatting>
  <conditionalFormatting sqref="B36">
    <cfRule type="cellIs" dxfId="71" priority="26" operator="greaterThan">
      <formula>0</formula>
    </cfRule>
    <cfRule type="cellIs" dxfId="70" priority="25" operator="lessThan">
      <formula>0</formula>
    </cfRule>
  </conditionalFormatting>
  <conditionalFormatting sqref="B81">
    <cfRule type="cellIs" dxfId="69" priority="1" operator="lessThan">
      <formula>0</formula>
    </cfRule>
    <cfRule type="cellIs" dxfId="68" priority="2" operator="greaterThan">
      <formula>0</formula>
    </cfRule>
  </conditionalFormatting>
  <conditionalFormatting sqref="B92">
    <cfRule type="cellIs" dxfId="67" priority="3" operator="lessThan">
      <formula>0</formula>
    </cfRule>
    <cfRule type="cellIs" dxfId="66" priority="4" operator="greaterThan">
      <formula>0</formula>
    </cfRule>
  </conditionalFormatting>
  <conditionalFormatting sqref="H12:H34">
    <cfRule type="cellIs" dxfId="65" priority="45" operator="lessThan">
      <formula>0</formula>
    </cfRule>
    <cfRule type="cellIs" dxfId="64" priority="39" stopIfTrue="1" operator="greaterThan">
      <formula>0</formula>
    </cfRule>
    <cfRule type="cellIs" dxfId="63" priority="36" operator="greaterThan">
      <formula>0</formula>
    </cfRule>
    <cfRule type="expression" dxfId="62" priority="34">
      <formula>(C12-D12)*E12&gt;0</formula>
    </cfRule>
    <cfRule type="expression" dxfId="61" priority="33">
      <formula>(C12-D12)*E12&lt;0</formula>
    </cfRule>
  </conditionalFormatting>
  <conditionalFormatting sqref="H89:H91">
    <cfRule type="expression" dxfId="60" priority="15">
      <formula>(C89-D89)*E89&lt;0</formula>
    </cfRule>
    <cfRule type="expression" dxfId="59" priority="16">
      <formula>(C89-D89)*E89&gt;0</formula>
    </cfRule>
    <cfRule type="cellIs" dxfId="58" priority="17" operator="greaterThan">
      <formula>0</formula>
    </cfRule>
    <cfRule type="cellIs" dxfId="57" priority="18" stopIfTrue="1" operator="greaterThan">
      <formula>0</formula>
    </cfRule>
    <cfRule type="cellIs" dxfId="56" priority="22" operator="lessThan">
      <formula>0</formula>
    </cfRule>
  </conditionalFormatting>
  <conditionalFormatting sqref="H90">
    <cfRule type="containsText" dxfId="55" priority="11" operator="containsText" text="–">
      <formula>NOT(ISERROR(SEARCH("–",H90)))</formula>
    </cfRule>
  </conditionalFormatting>
  <conditionalFormatting sqref="I12:I34">
    <cfRule type="expression" dxfId="54" priority="32">
      <formula>((C12-D12)/D12)&gt;0</formula>
    </cfRule>
    <cfRule type="expression" dxfId="53" priority="31">
      <formula>((C12-D12)/D12)&lt;0</formula>
    </cfRule>
  </conditionalFormatting>
  <conditionalFormatting sqref="I89:I91">
    <cfRule type="expression" dxfId="52" priority="14">
      <formula>((C89-D89)/D89)&gt;0</formula>
    </cfRule>
    <cfRule type="expression" dxfId="51" priority="13">
      <formula>((C89-D89)/D89)&lt;0</formula>
    </cfRule>
  </conditionalFormatting>
  <conditionalFormatting sqref="J90">
    <cfRule type="expression" dxfId="50" priority="6">
      <formula>(E90-F90)*G90&lt;0</formula>
    </cfRule>
    <cfRule type="expression" dxfId="49" priority="7">
      <formula>(E90-F90)*G90&gt;0</formula>
    </cfRule>
    <cfRule type="cellIs" dxfId="48" priority="9" stopIfTrue="1" operator="greaterThan">
      <formula>0</formula>
    </cfRule>
    <cfRule type="containsText" dxfId="47" priority="5" operator="containsText" text="–">
      <formula>NOT(ISERROR(SEARCH("–",J90)))</formula>
    </cfRule>
  </conditionalFormatting>
  <conditionalFormatting sqref="J12:K34">
    <cfRule type="cellIs" dxfId="46" priority="40" operator="greaterThan">
      <formula>0</formula>
    </cfRule>
    <cfRule type="cellIs" dxfId="45" priority="41" operator="lessThan">
      <formula>0</formula>
    </cfRule>
    <cfRule type="cellIs" dxfId="44" priority="42" operator="equal">
      <formula>0</formula>
    </cfRule>
  </conditionalFormatting>
  <conditionalFormatting sqref="J89:K89 K90 J91:K91">
    <cfRule type="cellIs" dxfId="43" priority="21" operator="equal">
      <formula>0</formula>
    </cfRule>
  </conditionalFormatting>
  <conditionalFormatting sqref="J89:K91">
    <cfRule type="cellIs" dxfId="42" priority="8" operator="greaterThan">
      <formula>0</formula>
    </cfRule>
    <cfRule type="cellIs" dxfId="41" priority="10" operator="lessThan">
      <formula>0</formula>
    </cfRule>
  </conditionalFormatting>
  <printOptions horizontalCentered="1" verticalCentered="1"/>
  <pageMargins left="0.25" right="0.25" top="0.75" bottom="0.75" header="0.3" footer="0.3"/>
  <pageSetup scale="40" orientation="portrait" horizontalDpi="0" verticalDpi="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433AA-ECC5-7C4E-8AA1-65F00A87085C}">
  <sheetPr>
    <pageSetUpPr fitToPage="1"/>
  </sheetPr>
  <dimension ref="A1:T139"/>
  <sheetViews>
    <sheetView zoomScale="85" zoomScaleNormal="75" workbookViewId="0">
      <selection activeCell="L30" sqref="L30"/>
    </sheetView>
  </sheetViews>
  <sheetFormatPr baseColWidth="10" defaultColWidth="11.5" defaultRowHeight="15" x14ac:dyDescent="0.2"/>
  <cols>
    <col min="1" max="1" width="20.6640625" style="1" bestFit="1" customWidth="1"/>
    <col min="2" max="2" width="46.6640625" style="1" customWidth="1"/>
    <col min="3" max="3" width="9.5" style="1" customWidth="1"/>
    <col min="4" max="4" width="15.5" style="1" customWidth="1"/>
    <col min="5" max="5" width="11.83203125" style="1" customWidth="1"/>
    <col min="6" max="6" width="11.33203125" style="1" customWidth="1"/>
    <col min="7" max="7" width="8.5" style="1" customWidth="1"/>
    <col min="8" max="8" width="11.1640625" style="1" customWidth="1"/>
    <col min="9" max="9" width="9.6640625" style="1" customWidth="1"/>
    <col min="10" max="10" width="11.1640625" style="1" customWidth="1"/>
    <col min="11" max="11" width="9.6640625" style="1" customWidth="1"/>
    <col min="12" max="12" width="11.5" style="1" customWidth="1"/>
    <col min="13" max="16384" width="11.5" style="1"/>
  </cols>
  <sheetData>
    <row r="1" spans="1:14" ht="19" x14ac:dyDescent="0.25">
      <c r="A1" s="375" t="s">
        <v>184</v>
      </c>
      <c r="B1" s="376"/>
      <c r="C1" s="376"/>
      <c r="D1" s="376"/>
      <c r="E1" s="376"/>
      <c r="F1" s="376"/>
      <c r="G1" s="376"/>
      <c r="H1" s="376"/>
      <c r="I1" s="376"/>
      <c r="J1" s="376"/>
      <c r="K1" s="376"/>
      <c r="L1" s="377"/>
      <c r="M1" s="14"/>
    </row>
    <row r="2" spans="1:14" ht="16" x14ac:dyDescent="0.2">
      <c r="A2" s="35"/>
      <c r="B2" s="36"/>
      <c r="C2" s="36"/>
      <c r="D2" s="36"/>
      <c r="E2" s="36"/>
      <c r="F2" s="36"/>
      <c r="G2" s="36"/>
      <c r="H2" s="36"/>
      <c r="I2" s="36"/>
      <c r="J2" s="36"/>
      <c r="K2" s="36"/>
      <c r="L2" s="37"/>
      <c r="M2" s="14"/>
      <c r="N2" s="15"/>
    </row>
    <row r="3" spans="1:14" ht="16" x14ac:dyDescent="0.2">
      <c r="A3" s="39" t="s">
        <v>172</v>
      </c>
      <c r="B3" s="40">
        <f ca="1">SUM(B48,B6,B47)</f>
        <v>9811.74</v>
      </c>
      <c r="C3" s="34"/>
      <c r="D3" s="41" t="s">
        <v>170</v>
      </c>
      <c r="E3" s="42">
        <f ca="1">B10</f>
        <v>9810.74</v>
      </c>
      <c r="F3" s="34"/>
      <c r="G3" s="34"/>
      <c r="H3" s="34"/>
      <c r="I3" s="34"/>
      <c r="J3" s="34"/>
      <c r="K3" s="34"/>
      <c r="L3" s="43"/>
      <c r="N3" s="14"/>
    </row>
    <row r="4" spans="1:14" ht="16" x14ac:dyDescent="0.2">
      <c r="A4" s="44" t="s">
        <v>173</v>
      </c>
      <c r="B4" s="45">
        <f ca="1">SUM(J12:J34)</f>
        <v>-3.9530000000000052</v>
      </c>
      <c r="C4" s="34"/>
      <c r="D4" s="46" t="s">
        <v>21</v>
      </c>
      <c r="E4" s="47">
        <f ca="1">B3/E3</f>
        <v>1.0001019291103423</v>
      </c>
      <c r="F4" s="34"/>
      <c r="G4" s="34"/>
      <c r="H4" s="34"/>
      <c r="I4" s="34"/>
      <c r="J4" s="34"/>
      <c r="K4" s="34"/>
      <c r="L4" s="43"/>
    </row>
    <row r="5" spans="1:14" ht="16" x14ac:dyDescent="0.2">
      <c r="A5" s="48" t="s">
        <v>177</v>
      </c>
      <c r="B5" s="49" t="str">
        <f ca="1">IF(B48&gt;=0,
    "+" &amp; TEXT(B48,"$#,##0.00") &amp; " (+" &amp; TEXT(B48/B6,"0.00%") &amp; ")",
    TEXT(B48,"$#,##0.00") &amp; " (" &amp; TEXT(B48/B6,"0.00%") &amp; ")"
)</f>
        <v>+$1.00 (+0.01%)</v>
      </c>
      <c r="C5" s="34"/>
      <c r="D5" s="50" t="s">
        <v>181</v>
      </c>
      <c r="E5" s="47">
        <f ca="1">1-E4</f>
        <v>-1.0192911034234697E-4</v>
      </c>
      <c r="F5" s="34"/>
      <c r="G5" s="34"/>
      <c r="H5" s="34"/>
      <c r="I5" s="34"/>
      <c r="J5" s="34"/>
      <c r="K5" s="34"/>
      <c r="L5" s="43"/>
    </row>
    <row r="6" spans="1:14" ht="16" x14ac:dyDescent="0.2">
      <c r="A6" s="51" t="s">
        <v>186</v>
      </c>
      <c r="B6" s="52">
        <f ca="1">SUM(F12:F46)</f>
        <v>9810.74</v>
      </c>
      <c r="C6" s="34"/>
      <c r="D6" s="53"/>
      <c r="E6" s="34"/>
      <c r="F6" s="34"/>
      <c r="G6" s="34"/>
      <c r="H6" s="34"/>
      <c r="I6" s="34"/>
      <c r="J6" s="34"/>
      <c r="K6" s="34"/>
      <c r="L6" s="43"/>
    </row>
    <row r="7" spans="1:14" x14ac:dyDescent="0.2">
      <c r="A7" s="46"/>
      <c r="B7" s="34"/>
      <c r="C7" s="34"/>
      <c r="D7" s="34"/>
      <c r="E7" s="34"/>
      <c r="F7" s="34"/>
      <c r="G7" s="34"/>
      <c r="H7" s="34"/>
      <c r="I7" s="34"/>
      <c r="J7" s="34"/>
      <c r="K7" s="34"/>
      <c r="L7" s="43"/>
    </row>
    <row r="8" spans="1:14" x14ac:dyDescent="0.2">
      <c r="A8" s="46"/>
      <c r="B8" s="34"/>
      <c r="C8" s="34"/>
      <c r="D8" s="34"/>
      <c r="E8" s="34"/>
      <c r="F8" s="34"/>
      <c r="G8" s="34"/>
      <c r="H8" s="34"/>
      <c r="I8" s="34"/>
      <c r="J8" s="34"/>
      <c r="K8" s="34"/>
      <c r="L8" s="43"/>
    </row>
    <row r="9" spans="1:14" x14ac:dyDescent="0.2">
      <c r="A9" s="54" t="s">
        <v>171</v>
      </c>
      <c r="B9" s="55" t="s">
        <v>179</v>
      </c>
      <c r="C9" s="34"/>
      <c r="D9" s="34"/>
      <c r="E9" s="34"/>
      <c r="F9" s="34"/>
      <c r="G9" s="56"/>
      <c r="H9" s="34"/>
      <c r="I9" s="34"/>
      <c r="J9" s="34"/>
      <c r="K9" s="34"/>
      <c r="L9" s="43"/>
    </row>
    <row r="10" spans="1:14" x14ac:dyDescent="0.2">
      <c r="A10" s="57">
        <v>35</v>
      </c>
      <c r="B10" s="58">
        <f ca="1">SUM(F12:F46)</f>
        <v>9810.74</v>
      </c>
      <c r="C10" s="34"/>
      <c r="D10" s="34"/>
      <c r="E10" s="34"/>
      <c r="F10" s="34"/>
      <c r="G10" s="34"/>
      <c r="H10" s="34"/>
      <c r="I10" s="34"/>
      <c r="J10" s="34"/>
      <c r="K10" s="34"/>
      <c r="L10" s="43"/>
    </row>
    <row r="11" spans="1:14" x14ac:dyDescent="0.2">
      <c r="A11" s="59" t="s">
        <v>147</v>
      </c>
      <c r="B11" s="59" t="s">
        <v>17</v>
      </c>
      <c r="C11" s="60" t="s">
        <v>9</v>
      </c>
      <c r="D11" s="60" t="s">
        <v>19</v>
      </c>
      <c r="E11" s="60" t="s">
        <v>18</v>
      </c>
      <c r="F11" s="60" t="s">
        <v>21</v>
      </c>
      <c r="G11" s="60" t="s">
        <v>180</v>
      </c>
      <c r="H11" s="61" t="s">
        <v>174</v>
      </c>
      <c r="I11" s="62"/>
      <c r="J11" s="61" t="s">
        <v>175</v>
      </c>
      <c r="K11" s="63"/>
      <c r="L11" s="43"/>
    </row>
    <row r="12" spans="1:14" x14ac:dyDescent="0.2">
      <c r="A12" s="64" t="s">
        <v>148</v>
      </c>
      <c r="B12" s="64" t="e" vm="1">
        <v>#VALUE!</v>
      </c>
      <c r="C12" s="65" cm="1">
        <f t="array" aca="1" ref="C12" ca="1">_FV(B12,"Price")</f>
        <v>278.02999999999997</v>
      </c>
      <c r="D12" s="66">
        <f ca="1">C12</f>
        <v>278.02999999999997</v>
      </c>
      <c r="E12" s="67">
        <v>1</v>
      </c>
      <c r="F12" s="68">
        <f ca="1">E12*C12</f>
        <v>278.02999999999997</v>
      </c>
      <c r="G12" s="47">
        <f t="shared" ref="G12:G46" ca="1" si="0">F12/$B$10</f>
        <v>2.8339350548480541E-2</v>
      </c>
      <c r="H12" s="69">
        <f t="shared" ref="H12:H35" ca="1" si="1">(C12 - D12) * E12</f>
        <v>0</v>
      </c>
      <c r="I12" s="70" t="str">
        <f t="shared" ref="I12:I35" ca="1" si="2">IF((C12-D12)/D12&lt;0,
"(" &amp; TEXT((C12-D12)/D12,"0.00%") &amp; ")",
"(+" &amp; TEXT((C12-D12)/D12,"0.00%") &amp; ")")</f>
        <v>(+0.00%)</v>
      </c>
      <c r="J12" s="71" cm="1">
        <f t="array" aca="1" ref="J12" ca="1">(_FV(B12,"Change"))*E12</f>
        <v>-0.75</v>
      </c>
      <c r="K12" s="72" cm="1">
        <f t="array" aca="1" ref="K12" ca="1">_FV(B12,"Change (%)",TRUE)</f>
        <v>-2.6900000000000001E-3</v>
      </c>
      <c r="L12" s="43"/>
    </row>
    <row r="13" spans="1:14" x14ac:dyDescent="0.2">
      <c r="A13" s="64" t="s">
        <v>149</v>
      </c>
      <c r="B13" s="64" t="e" vm="2">
        <v>#VALUE!</v>
      </c>
      <c r="C13" s="65" cm="1">
        <f t="array" aca="1" ref="C13" ca="1">_FV(B13,"Price")</f>
        <v>180.93</v>
      </c>
      <c r="D13" s="66">
        <f t="shared" ref="D13:D46" ca="1" si="3">C13</f>
        <v>180.93</v>
      </c>
      <c r="E13" s="67">
        <v>1</v>
      </c>
      <c r="F13" s="68">
        <f t="shared" ref="F13:F46" ca="1" si="4">E13*C13</f>
        <v>180.93</v>
      </c>
      <c r="G13" s="47">
        <f t="shared" ca="1" si="0"/>
        <v>1.8442033934239415E-2</v>
      </c>
      <c r="H13" s="69">
        <f t="shared" ca="1" si="1"/>
        <v>0</v>
      </c>
      <c r="I13" s="70" t="str">
        <f t="shared" ca="1" si="2"/>
        <v>(+0.00%)</v>
      </c>
      <c r="J13" s="71" cm="1">
        <f t="array" aca="1" ref="J13" ca="1">(_FV(B13,"Change"))*E13</f>
        <v>-2.85</v>
      </c>
      <c r="K13" s="72" cm="1">
        <f t="array" aca="1" ref="K13" ca="1">_FV(B13,"Change (%)",TRUE)</f>
        <v>-1.5507999999999999E-2</v>
      </c>
      <c r="L13" s="43"/>
    </row>
    <row r="14" spans="1:14" x14ac:dyDescent="0.2">
      <c r="A14" s="64" t="s">
        <v>150</v>
      </c>
      <c r="B14" s="64" t="e" vm="3">
        <v>#VALUE!</v>
      </c>
      <c r="C14" s="65" cm="1">
        <f t="array" aca="1" ref="C14" ca="1">_FV(B14,"Price")</f>
        <v>312.43</v>
      </c>
      <c r="D14" s="66">
        <f t="shared" ca="1" si="3"/>
        <v>312.43</v>
      </c>
      <c r="E14" s="67">
        <v>1</v>
      </c>
      <c r="F14" s="68">
        <f t="shared" ca="1" si="4"/>
        <v>312.43</v>
      </c>
      <c r="G14" s="47">
        <f t="shared" ca="1" si="0"/>
        <v>3.1845711944257012E-2</v>
      </c>
      <c r="H14" s="69">
        <f t="shared" ca="1" si="1"/>
        <v>0</v>
      </c>
      <c r="I14" s="70" t="str">
        <f t="shared" ca="1" si="2"/>
        <v>(+0.00%)</v>
      </c>
      <c r="J14" s="71" cm="1">
        <f t="array" aca="1" ref="J14" ca="1">(_FV(B14,"Change"))*E14</f>
        <v>-7.78</v>
      </c>
      <c r="K14" s="72" cm="1">
        <f t="array" aca="1" ref="K14" ca="1">_FV(B14,"Change (%)",TRUE)</f>
        <v>-2.4296999999999999E-2</v>
      </c>
      <c r="L14" s="43"/>
    </row>
    <row r="15" spans="1:14" x14ac:dyDescent="0.2">
      <c r="A15" s="64" t="s">
        <v>151</v>
      </c>
      <c r="B15" s="64" t="e" vm="4">
        <v>#VALUE!</v>
      </c>
      <c r="C15" s="65" cm="1">
        <f t="array" aca="1" ref="C15" ca="1">_FV(B15,"Price")</f>
        <v>34.020000000000003</v>
      </c>
      <c r="D15" s="66">
        <f t="shared" ca="1" si="3"/>
        <v>34.020000000000003</v>
      </c>
      <c r="E15" s="67">
        <v>1</v>
      </c>
      <c r="F15" s="68">
        <f t="shared" ca="1" si="4"/>
        <v>34.020000000000003</v>
      </c>
      <c r="G15" s="47">
        <f t="shared" ca="1" si="0"/>
        <v>3.4676283338463767E-3</v>
      </c>
      <c r="H15" s="69">
        <f t="shared" ca="1" si="1"/>
        <v>0</v>
      </c>
      <c r="I15" s="70" t="str">
        <f t="shared" ca="1" si="2"/>
        <v>(+0.00%)</v>
      </c>
      <c r="J15" s="71" cm="1">
        <f t="array" aca="1" ref="J15" ca="1">(_FV(B15,"Change"))*E15</f>
        <v>-0.88</v>
      </c>
      <c r="K15" s="72" cm="1">
        <f t="array" aca="1" ref="K15" ca="1">_FV(B15,"Change (%)",TRUE)</f>
        <v>-2.5215000000000001E-2</v>
      </c>
      <c r="L15" s="43"/>
    </row>
    <row r="16" spans="1:14" x14ac:dyDescent="0.2">
      <c r="A16" s="64" t="s">
        <v>152</v>
      </c>
      <c r="B16" s="64" t="e" vm="5">
        <v>#VALUE!</v>
      </c>
      <c r="C16" s="65" cm="1">
        <f t="array" aca="1" ref="C16" ca="1">_FV(B16,"Price")</f>
        <v>776.34</v>
      </c>
      <c r="D16" s="66">
        <f t="shared" ca="1" si="3"/>
        <v>776.34</v>
      </c>
      <c r="E16" s="67">
        <v>1</v>
      </c>
      <c r="F16" s="68">
        <f t="shared" ca="1" si="4"/>
        <v>776.34</v>
      </c>
      <c r="G16" s="47">
        <f t="shared" ca="1" si="0"/>
        <v>7.9131645523171548E-2</v>
      </c>
      <c r="H16" s="69">
        <f t="shared" ca="1" si="1"/>
        <v>0</v>
      </c>
      <c r="I16" s="70" t="str">
        <f t="shared" ca="1" si="2"/>
        <v>(+0.00%)</v>
      </c>
      <c r="J16" s="71" cm="1">
        <f t="array" aca="1" ref="J16" ca="1">(_FV(B16,"Change"))*E16</f>
        <v>-2.82</v>
      </c>
      <c r="K16" s="72" cm="1">
        <f t="array" aca="1" ref="K16" ca="1">_FV(B16,"Change (%)",TRUE)</f>
        <v>-3.6189999999999998E-3</v>
      </c>
      <c r="L16" s="43"/>
    </row>
    <row r="17" spans="1:20" x14ac:dyDescent="0.2">
      <c r="A17" s="64" t="s">
        <v>153</v>
      </c>
      <c r="B17" s="64" t="e" vm="6">
        <v>#VALUE!</v>
      </c>
      <c r="C17" s="65" cm="1">
        <f t="array" aca="1" ref="C17" ca="1">_FV(B17,"Price")</f>
        <v>625.58000000000004</v>
      </c>
      <c r="D17" s="66">
        <f t="shared" ca="1" si="3"/>
        <v>625.58000000000004</v>
      </c>
      <c r="E17" s="67">
        <v>1</v>
      </c>
      <c r="F17" s="68">
        <f t="shared" ca="1" si="4"/>
        <v>625.58000000000004</v>
      </c>
      <c r="G17" s="47">
        <f t="shared" ca="1" si="0"/>
        <v>6.3764812847960511E-2</v>
      </c>
      <c r="H17" s="69">
        <f t="shared" ca="1" si="1"/>
        <v>0</v>
      </c>
      <c r="I17" s="70" t="str">
        <f t="shared" ca="1" si="2"/>
        <v>(+0.00%)</v>
      </c>
      <c r="J17" s="71" cm="1">
        <f t="array" aca="1" ref="J17" ca="1">(_FV(B17,"Change"))*E17</f>
        <v>-2.0299999999999998</v>
      </c>
      <c r="K17" s="72" cm="1">
        <f t="array" aca="1" ref="K17" ca="1">_FV(B17,"Change (%)",TRUE)</f>
        <v>-3.2340000000000003E-3</v>
      </c>
      <c r="L17" s="43"/>
    </row>
    <row r="18" spans="1:20" x14ac:dyDescent="0.2">
      <c r="A18" s="64" t="s">
        <v>154</v>
      </c>
      <c r="B18" s="64" t="e" vm="7">
        <v>#VALUE!</v>
      </c>
      <c r="C18" s="65" cm="1">
        <f t="array" aca="1" ref="C18" ca="1">_FV(B18,"Price")</f>
        <v>689.17</v>
      </c>
      <c r="D18" s="66">
        <f t="shared" ca="1" si="3"/>
        <v>689.17</v>
      </c>
      <c r="E18" s="67">
        <v>1</v>
      </c>
      <c r="F18" s="68">
        <f t="shared" ca="1" si="4"/>
        <v>689.17</v>
      </c>
      <c r="G18" s="47">
        <f t="shared" ca="1" si="0"/>
        <v>7.0246484974629847E-2</v>
      </c>
      <c r="H18" s="69">
        <f t="shared" ca="1" si="1"/>
        <v>0</v>
      </c>
      <c r="I18" s="70" t="str">
        <f t="shared" ca="1" si="2"/>
        <v>(+0.00%)</v>
      </c>
      <c r="J18" s="71" cm="1">
        <f t="array" aca="1" ref="J18" ca="1">(_FV(B18,"Change"))*E18</f>
        <v>1.6</v>
      </c>
      <c r="K18" s="72" cm="1">
        <f t="array" aca="1" ref="K18" ca="1">_FV(B18,"Change (%)",TRUE)</f>
        <v>2.3270000000000001E-3</v>
      </c>
      <c r="L18" s="43"/>
    </row>
    <row r="19" spans="1:20" x14ac:dyDescent="0.2">
      <c r="A19" s="64" t="s">
        <v>155</v>
      </c>
      <c r="B19" s="64" t="e" vm="8">
        <v>#VALUE!</v>
      </c>
      <c r="C19" s="65" cm="1">
        <f t="array" aca="1" ref="C19" ca="1">_FV(B19,"Price")</f>
        <v>230.28</v>
      </c>
      <c r="D19" s="66">
        <f t="shared" ca="1" si="3"/>
        <v>230.28</v>
      </c>
      <c r="E19" s="67">
        <v>1</v>
      </c>
      <c r="F19" s="68">
        <f t="shared" ca="1" si="4"/>
        <v>230.28</v>
      </c>
      <c r="G19" s="47">
        <f t="shared" ca="1" si="0"/>
        <v>2.3472235529633852E-2</v>
      </c>
      <c r="H19" s="69">
        <f t="shared" ca="1" si="1"/>
        <v>0</v>
      </c>
      <c r="I19" s="70" t="str">
        <f t="shared" ca="1" si="2"/>
        <v>(+0.00%)</v>
      </c>
      <c r="J19" s="71" cm="1">
        <f t="array" aca="1" ref="J19" ca="1">(_FV(B19,"Change"))*E19</f>
        <v>-1.5</v>
      </c>
      <c r="K19" s="72" cm="1">
        <f t="array" aca="1" ref="K19" ca="1">_FV(B19,"Change (%)",TRUE)</f>
        <v>-6.4720000000000003E-3</v>
      </c>
      <c r="L19" s="43"/>
    </row>
    <row r="20" spans="1:20" x14ac:dyDescent="0.2">
      <c r="A20" s="64" t="s">
        <v>156</v>
      </c>
      <c r="B20" s="64" t="e" vm="9">
        <v>#VALUE!</v>
      </c>
      <c r="C20" s="65" cm="1">
        <f t="array" aca="1" ref="C20" ca="1">_FV(B20,"Price")</f>
        <v>483.47</v>
      </c>
      <c r="D20" s="66">
        <f t="shared" ca="1" si="3"/>
        <v>483.47</v>
      </c>
      <c r="E20" s="67">
        <v>1</v>
      </c>
      <c r="F20" s="68">
        <f t="shared" ca="1" si="4"/>
        <v>483.47</v>
      </c>
      <c r="G20" s="47">
        <f t="shared" ca="1" si="0"/>
        <v>4.9279666977210694E-2</v>
      </c>
      <c r="H20" s="69">
        <f t="shared" ca="1" si="1"/>
        <v>0</v>
      </c>
      <c r="I20" s="70" t="str">
        <f t="shared" ca="1" si="2"/>
        <v>(+0.00%)</v>
      </c>
      <c r="J20" s="71" cm="1">
        <f t="array" aca="1" ref="J20" ca="1">(_FV(B20,"Change"))*E20</f>
        <v>4.91</v>
      </c>
      <c r="K20" s="72" cm="1">
        <f t="array" aca="1" ref="K20" ca="1">_FV(B20,"Change (%)",TRUE)</f>
        <v>1.026E-2</v>
      </c>
      <c r="L20" s="43"/>
    </row>
    <row r="21" spans="1:20" x14ac:dyDescent="0.2">
      <c r="A21" s="64" t="s">
        <v>157</v>
      </c>
      <c r="B21" s="64" t="e" vm="10">
        <v>#VALUE!</v>
      </c>
      <c r="C21" s="65" cm="1">
        <f t="array" aca="1" ref="C21" ca="1">_FV(B21,"Price")</f>
        <v>652.71</v>
      </c>
      <c r="D21" s="66">
        <f t="shared" ca="1" si="3"/>
        <v>652.71</v>
      </c>
      <c r="E21" s="67">
        <v>1</v>
      </c>
      <c r="F21" s="68">
        <f t="shared" ca="1" si="4"/>
        <v>652.71</v>
      </c>
      <c r="G21" s="47">
        <f t="shared" ca="1" si="0"/>
        <v>6.653014961154817E-2</v>
      </c>
      <c r="H21" s="69">
        <f t="shared" ca="1" si="1"/>
        <v>0</v>
      </c>
      <c r="I21" s="70" t="str">
        <f t="shared" ca="1" si="2"/>
        <v>(+0.00%)</v>
      </c>
      <c r="J21" s="71" cm="1">
        <f t="array" aca="1" ref="J21" ca="1">(_FV(B21,"Change"))*E21</f>
        <v>2.58</v>
      </c>
      <c r="K21" s="72" cm="1">
        <f t="array" aca="1" ref="K21" ca="1">_FV(B21,"Change (%)",TRUE)</f>
        <v>3.9680000000000002E-3</v>
      </c>
      <c r="L21" s="43"/>
    </row>
    <row r="22" spans="1:20" x14ac:dyDescent="0.2">
      <c r="A22" s="64" t="s">
        <v>380</v>
      </c>
      <c r="B22" s="64" t="e" vm="25">
        <v>#VALUE!</v>
      </c>
      <c r="C22" s="65" cm="1">
        <f t="array" aca="1" ref="C22" ca="1">_FV(B22,"Price")</f>
        <v>43.94</v>
      </c>
      <c r="D22" s="66">
        <f t="shared" ca="1" si="3"/>
        <v>43.94</v>
      </c>
      <c r="E22" s="67">
        <v>1</v>
      </c>
      <c r="F22" s="68">
        <f t="shared" ca="1" si="4"/>
        <v>43.94</v>
      </c>
      <c r="G22" s="47">
        <f t="shared" ca="1" si="0"/>
        <v>4.4787651084423801E-3</v>
      </c>
      <c r="H22" s="69">
        <f t="shared" ca="1" si="1"/>
        <v>0</v>
      </c>
      <c r="I22" s="70" t="str">
        <f t="shared" ca="1" si="2"/>
        <v>(+0.00%)</v>
      </c>
      <c r="J22" s="71" cm="1">
        <f t="array" aca="1" ref="J22" ca="1">(_FV(B22,"Change"))*E22</f>
        <v>0.02</v>
      </c>
      <c r="K22" s="72" cm="1">
        <f t="array" aca="1" ref="K22" ca="1">_FV(B22,"Change (%)",TRUE)</f>
        <v>4.5539999999999996E-4</v>
      </c>
      <c r="L22" s="43"/>
    </row>
    <row r="23" spans="1:20" x14ac:dyDescent="0.2">
      <c r="A23" s="64" t="s">
        <v>16</v>
      </c>
      <c r="B23" s="64" t="e" vm="12">
        <v>#VALUE!</v>
      </c>
      <c r="C23" s="65" cm="1">
        <f t="array" aca="1" ref="C23" ca="1">_FV(B23,"Price")</f>
        <v>24.19</v>
      </c>
      <c r="D23" s="66">
        <f t="shared" ca="1" si="3"/>
        <v>24.19</v>
      </c>
      <c r="E23" s="67">
        <v>1</v>
      </c>
      <c r="F23" s="68">
        <f t="shared" ca="1" si="4"/>
        <v>24.19</v>
      </c>
      <c r="G23" s="47">
        <f t="shared" ca="1" si="0"/>
        <v>2.465665179181183E-3</v>
      </c>
      <c r="H23" s="69">
        <f t="shared" ca="1" si="1"/>
        <v>0</v>
      </c>
      <c r="I23" s="70" t="str">
        <f t="shared" ca="1" si="2"/>
        <v>(+0.00%)</v>
      </c>
      <c r="J23" s="71" cm="1">
        <f t="array" aca="1" ref="J23" ca="1">(_FV(B23,"Change"))*E23</f>
        <v>0.37</v>
      </c>
      <c r="K23" s="72" cm="1">
        <f t="array" aca="1" ref="K23" ca="1">_FV(B23,"Change (%)",TRUE)</f>
        <v>1.5532999999999998E-2</v>
      </c>
      <c r="L23" s="43"/>
    </row>
    <row r="24" spans="1:20" x14ac:dyDescent="0.2">
      <c r="A24" s="64" t="s">
        <v>159</v>
      </c>
      <c r="B24" s="64" t="e" vm="13">
        <v>#VALUE!</v>
      </c>
      <c r="C24" s="65" cm="1">
        <f t="array" aca="1" ref="C24" ca="1">_FV(B24,"Price")</f>
        <v>317.38</v>
      </c>
      <c r="D24" s="66">
        <f t="shared" ca="1" si="3"/>
        <v>317.38</v>
      </c>
      <c r="E24" s="67">
        <v>1</v>
      </c>
      <c r="F24" s="68">
        <f t="shared" ca="1" si="4"/>
        <v>317.38</v>
      </c>
      <c r="G24" s="47">
        <f t="shared" ca="1" si="0"/>
        <v>3.2350261040451585E-2</v>
      </c>
      <c r="H24" s="69">
        <f t="shared" ca="1" si="1"/>
        <v>0</v>
      </c>
      <c r="I24" s="70" t="str">
        <f t="shared" ca="1" si="2"/>
        <v>(+0.00%)</v>
      </c>
      <c r="J24" s="71" cm="1">
        <f t="array" aca="1" ref="J24" ca="1">(_FV(B24,"Change"))*E24</f>
        <v>7.27</v>
      </c>
      <c r="K24" s="72" cm="1">
        <f t="array" aca="1" ref="K24" ca="1">_FV(B24,"Change (%)",TRUE)</f>
        <v>2.3443000000000002E-2</v>
      </c>
      <c r="L24" s="43"/>
    </row>
    <row r="25" spans="1:20" x14ac:dyDescent="0.2">
      <c r="A25" s="64" t="s">
        <v>160</v>
      </c>
      <c r="B25" s="64" t="e" vm="14">
        <v>#VALUE!</v>
      </c>
      <c r="C25" s="65" cm="1">
        <f t="array" aca="1" ref="C25" ca="1">_FV(B25,"Price")</f>
        <v>40.22</v>
      </c>
      <c r="D25" s="66">
        <f t="shared" ca="1" si="3"/>
        <v>40.22</v>
      </c>
      <c r="E25" s="67">
        <v>1</v>
      </c>
      <c r="F25" s="68">
        <f t="shared" ca="1" si="4"/>
        <v>40.22</v>
      </c>
      <c r="G25" s="47">
        <f t="shared" ca="1" si="0"/>
        <v>4.0995888179688788E-3</v>
      </c>
      <c r="H25" s="69">
        <f t="shared" ca="1" si="1"/>
        <v>0</v>
      </c>
      <c r="I25" s="70" t="str">
        <f t="shared" ca="1" si="2"/>
        <v>(+0.00%)</v>
      </c>
      <c r="J25" s="71" cm="1">
        <f t="array" aca="1" ref="J25" ca="1">(_FV(B25,"Change"))*E25</f>
        <v>0.3</v>
      </c>
      <c r="K25" s="72" cm="1">
        <f t="array" aca="1" ref="K25" ca="1">_FV(B25,"Change (%)",TRUE)</f>
        <v>7.5149999999999991E-3</v>
      </c>
      <c r="L25" s="43"/>
    </row>
    <row r="26" spans="1:20" x14ac:dyDescent="0.2">
      <c r="A26" s="64" t="s">
        <v>161</v>
      </c>
      <c r="B26" s="64" t="e" vm="15">
        <v>#VALUE!</v>
      </c>
      <c r="C26" s="65" cm="1">
        <f t="array" aca="1" ref="C26" ca="1">_FV(B26,"Price")</f>
        <v>123.38</v>
      </c>
      <c r="D26" s="66">
        <f t="shared" ca="1" si="3"/>
        <v>123.38</v>
      </c>
      <c r="E26" s="67">
        <v>1</v>
      </c>
      <c r="F26" s="68">
        <f t="shared" ca="1" si="4"/>
        <v>123.38</v>
      </c>
      <c r="G26" s="47">
        <f t="shared" ca="1" si="0"/>
        <v>1.2576013634037798E-2</v>
      </c>
      <c r="H26" s="69">
        <f t="shared" ca="1" si="1"/>
        <v>0</v>
      </c>
      <c r="I26" s="70" t="str">
        <f t="shared" ca="1" si="2"/>
        <v>(+0.00%)</v>
      </c>
      <c r="J26" s="71" cm="1">
        <f t="array" aca="1" ref="J26" ca="1">(_FV(B26,"Change"))*E26</f>
        <v>-12.28</v>
      </c>
      <c r="K26" s="72" cm="1">
        <f t="array" aca="1" ref="K26" ca="1">_FV(B26,"Change (%)",TRUE)</f>
        <v>-9.0519999999999989E-2</v>
      </c>
      <c r="L26" s="43"/>
    </row>
    <row r="27" spans="1:20" x14ac:dyDescent="0.2">
      <c r="A27" s="64" t="s">
        <v>162</v>
      </c>
      <c r="B27" s="64" t="e" vm="16">
        <v>#VALUE!</v>
      </c>
      <c r="C27" s="65" cm="1">
        <f t="array" aca="1" ref="C27" ca="1">_FV(B27,"Price")</f>
        <v>27.07</v>
      </c>
      <c r="D27" s="66">
        <f t="shared" ca="1" si="3"/>
        <v>27.07</v>
      </c>
      <c r="E27" s="67">
        <v>1</v>
      </c>
      <c r="F27" s="68">
        <f t="shared" ca="1" si="4"/>
        <v>27.07</v>
      </c>
      <c r="G27" s="47">
        <f t="shared" ca="1" si="0"/>
        <v>2.7592210169671196E-3</v>
      </c>
      <c r="H27" s="69">
        <f t="shared" ca="1" si="1"/>
        <v>0</v>
      </c>
      <c r="I27" s="70" t="str">
        <f t="shared" ca="1" si="2"/>
        <v>(+0.00%)</v>
      </c>
      <c r="J27" s="71" cm="1">
        <f t="array" aca="1" ref="J27" ca="1">(_FV(B27,"Change"))*E27</f>
        <v>-0.02</v>
      </c>
      <c r="K27" s="72" cm="1">
        <f t="array" aca="1" ref="K27" ca="1">_FV(B27,"Change (%)",TRUE)</f>
        <v>-7.3830000000000011E-4</v>
      </c>
      <c r="L27" s="43"/>
    </row>
    <row r="28" spans="1:20" x14ac:dyDescent="0.2">
      <c r="A28" s="64" t="s">
        <v>163</v>
      </c>
      <c r="B28" s="64" t="e" vm="17">
        <v>#VALUE!</v>
      </c>
      <c r="C28" s="65" cm="1">
        <f t="array" aca="1" ref="C28" ca="1">_FV(B28,"Price")</f>
        <v>336.73</v>
      </c>
      <c r="D28" s="66">
        <f t="shared" ca="1" si="3"/>
        <v>336.73</v>
      </c>
      <c r="E28" s="67">
        <v>1</v>
      </c>
      <c r="F28" s="68">
        <f t="shared" ca="1" si="4"/>
        <v>336.73</v>
      </c>
      <c r="G28" s="47">
        <f t="shared" ca="1" si="0"/>
        <v>3.4322589325575852E-2</v>
      </c>
      <c r="H28" s="69">
        <f t="shared" ca="1" si="1"/>
        <v>0</v>
      </c>
      <c r="I28" s="70" t="str">
        <f t="shared" ca="1" si="2"/>
        <v>(+0.00%)</v>
      </c>
      <c r="J28" s="71" cm="1">
        <f t="array" aca="1" ref="J28" ca="1">(_FV(B28,"Change"))*E28</f>
        <v>8.36</v>
      </c>
      <c r="K28" s="72" cm="1">
        <f t="array" aca="1" ref="K28" ca="1">_FV(B28,"Change (%)",TRUE)</f>
        <v>2.5458999999999999E-2</v>
      </c>
      <c r="L28" s="43"/>
    </row>
    <row r="29" spans="1:20" x14ac:dyDescent="0.2">
      <c r="A29" s="64" t="s">
        <v>381</v>
      </c>
      <c r="B29" s="64" t="e" vm="26">
        <v>#VALUE!</v>
      </c>
      <c r="C29" s="65" cm="1">
        <f t="array" aca="1" ref="C29" ca="1">_FV(B29,"Price")</f>
        <v>87.38</v>
      </c>
      <c r="D29" s="66">
        <f t="shared" ca="1" si="3"/>
        <v>87.38</v>
      </c>
      <c r="E29" s="67">
        <v>1</v>
      </c>
      <c r="F29" s="68">
        <f t="shared" ca="1" si="4"/>
        <v>87.38</v>
      </c>
      <c r="G29" s="47">
        <f t="shared" ca="1" si="0"/>
        <v>8.9065656617135919E-3</v>
      </c>
      <c r="H29" s="69">
        <f t="shared" ca="1" si="1"/>
        <v>0</v>
      </c>
      <c r="I29" s="70" t="str">
        <f t="shared" ca="1" si="2"/>
        <v>(+0.00%)</v>
      </c>
      <c r="J29" s="71" cm="1">
        <f t="array" aca="1" ref="J29" ca="1">(_FV(B29,"Change"))*E29</f>
        <v>-0.78</v>
      </c>
      <c r="K29" s="72" cm="1">
        <f t="array" aca="1" ref="K29" ca="1">_FV(B29,"Change (%)",TRUE)</f>
        <v>-8.848E-3</v>
      </c>
      <c r="L29" s="43"/>
    </row>
    <row r="30" spans="1:20" x14ac:dyDescent="0.2">
      <c r="A30" s="64" t="s">
        <v>165</v>
      </c>
      <c r="B30" s="64" t="e" vm="19">
        <v>#VALUE!</v>
      </c>
      <c r="C30" s="65" cm="1">
        <f t="array" aca="1" ref="C30" ca="1">_FV(B30,"Price")</f>
        <v>174.63</v>
      </c>
      <c r="D30" s="66">
        <f t="shared" ca="1" si="3"/>
        <v>174.63</v>
      </c>
      <c r="E30" s="67">
        <v>1</v>
      </c>
      <c r="F30" s="68">
        <f t="shared" ca="1" si="4"/>
        <v>174.63</v>
      </c>
      <c r="G30" s="47">
        <f t="shared" ca="1" si="0"/>
        <v>1.7799880539082678E-2</v>
      </c>
      <c r="H30" s="69">
        <f t="shared" ca="1" si="1"/>
        <v>0</v>
      </c>
      <c r="I30" s="70" t="str">
        <f t="shared" ca="1" si="2"/>
        <v>(+0.00%)</v>
      </c>
      <c r="J30" s="71" cm="1">
        <f t="array" aca="1" ref="J30" ca="1">(_FV(B30,"Change"))*E30</f>
        <v>9.4600000000000009</v>
      </c>
      <c r="K30" s="72" cm="1">
        <f t="array" aca="1" ref="K30" ca="1">_FV(B30,"Change (%)",TRUE)</f>
        <v>5.7274000000000005E-2</v>
      </c>
      <c r="L30" s="43"/>
    </row>
    <row r="31" spans="1:20" x14ac:dyDescent="0.2">
      <c r="A31" s="64" t="s">
        <v>166</v>
      </c>
      <c r="B31" s="64" t="e" vm="20">
        <v>#VALUE!</v>
      </c>
      <c r="C31" s="65" cm="1">
        <f t="array" aca="1" ref="C31" ca="1">_FV(B31,"Price")</f>
        <v>93.85</v>
      </c>
      <c r="D31" s="66">
        <f t="shared" ca="1" si="3"/>
        <v>93.85</v>
      </c>
      <c r="E31" s="67">
        <v>1</v>
      </c>
      <c r="F31" s="68">
        <f t="shared" ca="1" si="4"/>
        <v>93.85</v>
      </c>
      <c r="G31" s="47">
        <f t="shared" ca="1" si="0"/>
        <v>9.5660470056285248E-3</v>
      </c>
      <c r="H31" s="69">
        <f t="shared" ca="1" si="1"/>
        <v>0</v>
      </c>
      <c r="I31" s="70" t="str">
        <f t="shared" ca="1" si="2"/>
        <v>(+0.00%)</v>
      </c>
      <c r="J31" s="71" cm="1">
        <f t="array" aca="1" ref="J31" ca="1">(_FV(B31,"Change"))*E31</f>
        <v>1.93</v>
      </c>
      <c r="K31" s="72" cm="1">
        <f t="array" aca="1" ref="K31" ca="1">_FV(B31,"Change (%)",TRUE)</f>
        <v>2.0996999999999998E-2</v>
      </c>
      <c r="L31" s="43"/>
      <c r="T31" s="16"/>
    </row>
    <row r="32" spans="1:20" x14ac:dyDescent="0.2">
      <c r="A32" s="64" t="s">
        <v>167</v>
      </c>
      <c r="B32" s="64" t="e" vm="21">
        <v>#VALUE!</v>
      </c>
      <c r="C32" s="65" cm="1">
        <f t="array" aca="1" ref="C32" ca="1">_FV(B32,"Price")</f>
        <v>406.37</v>
      </c>
      <c r="D32" s="66">
        <f t="shared" ca="1" si="3"/>
        <v>406.37</v>
      </c>
      <c r="E32" s="67">
        <v>1</v>
      </c>
      <c r="F32" s="68">
        <f t="shared" ca="1" si="4"/>
        <v>406.37</v>
      </c>
      <c r="G32" s="47">
        <f t="shared" ca="1" si="0"/>
        <v>4.1420932569816347E-2</v>
      </c>
      <c r="H32" s="69">
        <f t="shared" ca="1" si="1"/>
        <v>0</v>
      </c>
      <c r="I32" s="70" t="str">
        <f t="shared" ca="1" si="2"/>
        <v>(+0.00%)</v>
      </c>
      <c r="J32" s="71" cm="1">
        <f t="array" aca="1" ref="J32" ca="1">(_FV(B32,"Change"))*E32</f>
        <v>-6.6</v>
      </c>
      <c r="K32" s="72" cm="1">
        <f t="array" aca="1" ref="K32" ca="1">_FV(B32,"Change (%)",TRUE)</f>
        <v>-1.5982E-2</v>
      </c>
      <c r="L32" s="43"/>
    </row>
    <row r="33" spans="1:12" x14ac:dyDescent="0.2">
      <c r="A33" s="64" t="s">
        <v>168</v>
      </c>
      <c r="B33" s="64" t="e" vm="22">
        <v>#VALUE!</v>
      </c>
      <c r="C33" s="65" cm="1">
        <f t="array" aca="1" ref="C33" ca="1">_FV(B33,"Price")</f>
        <v>304.85000000000002</v>
      </c>
      <c r="D33" s="66">
        <f t="shared" ca="1" si="3"/>
        <v>304.85000000000002</v>
      </c>
      <c r="E33" s="67">
        <v>1</v>
      </c>
      <c r="F33" s="68">
        <f t="shared" ca="1" si="4"/>
        <v>304.85000000000002</v>
      </c>
      <c r="G33" s="47">
        <f t="shared" ca="1" si="0"/>
        <v>3.107308928786208E-2</v>
      </c>
      <c r="H33" s="69">
        <f t="shared" ca="1" si="1"/>
        <v>0</v>
      </c>
      <c r="I33" s="70" t="str">
        <f t="shared" ca="1" si="2"/>
        <v>(+0.00%)</v>
      </c>
      <c r="J33" s="71" cm="1">
        <f t="array" aca="1" ref="J33" ca="1">(_FV(B33,"Change"))*E33</f>
        <v>-4.4930000000000003</v>
      </c>
      <c r="K33" s="72" cm="1">
        <f t="array" aca="1" ref="K33" ca="1">_FV(B33,"Change (%)",TRUE)</f>
        <v>-1.4523999999999999E-2</v>
      </c>
      <c r="L33" s="43"/>
    </row>
    <row r="34" spans="1:12" x14ac:dyDescent="0.2">
      <c r="A34" s="59" t="s">
        <v>169</v>
      </c>
      <c r="B34" s="64" t="e" vm="23">
        <v>#VALUE!</v>
      </c>
      <c r="C34" s="65" cm="1">
        <f t="array" aca="1" ref="C34" ca="1">_FV(B34,"Price")</f>
        <v>134.38999999999999</v>
      </c>
      <c r="D34" s="66">
        <f t="shared" ca="1" si="3"/>
        <v>134.38999999999999</v>
      </c>
      <c r="E34" s="67">
        <v>1</v>
      </c>
      <c r="F34" s="68">
        <f t="shared" ca="1" si="4"/>
        <v>134.38999999999999</v>
      </c>
      <c r="G34" s="47">
        <f t="shared" ca="1" si="0"/>
        <v>1.3698253138906952E-2</v>
      </c>
      <c r="H34" s="69">
        <f t="shared" ca="1" si="1"/>
        <v>0</v>
      </c>
      <c r="I34" s="70" t="str">
        <f t="shared" ca="1" si="2"/>
        <v>(+0.00%)</v>
      </c>
      <c r="J34" s="71" cm="1">
        <f t="array" aca="1" ref="J34" ca="1">(_FV(B34,"Change"))*E34</f>
        <v>2.0299999999999998</v>
      </c>
      <c r="K34" s="72" cm="1">
        <f t="array" aca="1" ref="K34" ca="1">_FV(B34,"Change (%)",TRUE)</f>
        <v>1.5337E-2</v>
      </c>
      <c r="L34" s="43"/>
    </row>
    <row r="35" spans="1:12" x14ac:dyDescent="0.2">
      <c r="A35" s="64" t="s">
        <v>382</v>
      </c>
      <c r="B35" s="64" t="e" vm="27">
        <v>#VALUE!</v>
      </c>
      <c r="C35" s="65" cm="1">
        <f t="array" aca="1" ref="C35" ca="1">_FV(B35,"Price")</f>
        <v>716.98</v>
      </c>
      <c r="D35" s="66">
        <f t="shared" ca="1" si="3"/>
        <v>716.98</v>
      </c>
      <c r="E35" s="67">
        <v>1</v>
      </c>
      <c r="F35" s="68">
        <f t="shared" ca="1" si="4"/>
        <v>716.98</v>
      </c>
      <c r="G35" s="47">
        <f t="shared" ca="1" si="0"/>
        <v>7.3081133533250298E-2</v>
      </c>
      <c r="H35" s="69">
        <f t="shared" ca="1" si="1"/>
        <v>0</v>
      </c>
      <c r="I35" s="70" t="str">
        <f t="shared" ca="1" si="2"/>
        <v>(+0.00%)</v>
      </c>
      <c r="J35" s="71"/>
      <c r="K35" s="72" cm="1">
        <f t="array" aca="1" ref="K35" ca="1">_FV(B35,"Change (%)",TRUE)</f>
        <v>1.9480000000000001E-2</v>
      </c>
      <c r="L35" s="43"/>
    </row>
    <row r="36" spans="1:12" x14ac:dyDescent="0.2">
      <c r="A36" s="64" t="s">
        <v>383</v>
      </c>
      <c r="B36" s="64" t="e" vm="28">
        <v>#VALUE!</v>
      </c>
      <c r="C36" s="65" cm="1">
        <f t="array" aca="1" ref="C36" ca="1">_FV(B36,"Price")</f>
        <v>80.540000000000006</v>
      </c>
      <c r="D36" s="66">
        <f t="shared" ca="1" si="3"/>
        <v>80.540000000000006</v>
      </c>
      <c r="E36" s="67">
        <v>1</v>
      </c>
      <c r="F36" s="68">
        <f t="shared" ca="1" si="4"/>
        <v>80.540000000000006</v>
      </c>
      <c r="G36" s="47">
        <f t="shared" ca="1" si="0"/>
        <v>8.2093705469719926E-3</v>
      </c>
      <c r="H36" s="69">
        <f t="shared" ref="H36:H46" ca="1" si="5">(C36 - D36) * E36</f>
        <v>0</v>
      </c>
      <c r="I36" s="70" t="str">
        <f t="shared" ref="I36:I46" ca="1" si="6">IF((C36-D36)/D36&lt;0,
"(" &amp; TEXT((C36-D36)/D36,"0.00%") &amp; ")",
"(+" &amp; TEXT((C36-D36)/D36,"0.00%") &amp; ")")</f>
        <v>(+0.00%)</v>
      </c>
      <c r="J36" s="71" cm="1">
        <f t="array" aca="1" ref="J36" ca="1">(_FV(B36,"Change"))*E36</f>
        <v>0.87</v>
      </c>
      <c r="K36" s="72" cm="1">
        <f t="array" aca="1" ref="K36" ca="1">_FV(B36,"Change (%)",TRUE)</f>
        <v>1.0920000000000001E-2</v>
      </c>
      <c r="L36" s="43"/>
    </row>
    <row r="37" spans="1:12" x14ac:dyDescent="0.2">
      <c r="A37" s="59" t="s">
        <v>310</v>
      </c>
      <c r="B37" s="64" t="e" vm="29">
        <v>#VALUE!</v>
      </c>
      <c r="C37" s="65" cm="1">
        <f t="array" aca="1" ref="C37" ca="1">_FV(B37,"Price")</f>
        <v>1024.92</v>
      </c>
      <c r="D37" s="66">
        <f t="shared" ca="1" si="3"/>
        <v>1024.92</v>
      </c>
      <c r="E37" s="67">
        <v>1</v>
      </c>
      <c r="F37" s="68">
        <f t="shared" ca="1" si="4"/>
        <v>1024.92</v>
      </c>
      <c r="G37" s="47">
        <f t="shared" ca="1" si="0"/>
        <v>0.10446918377207021</v>
      </c>
      <c r="H37" s="69">
        <f t="shared" ca="1" si="5"/>
        <v>0</v>
      </c>
      <c r="I37" s="70" t="str">
        <f t="shared" ca="1" si="6"/>
        <v>(+0.00%)</v>
      </c>
      <c r="J37" s="71" cm="1">
        <f t="array" aca="1" ref="J37" ca="1">(_FV(B37,"Change"))*E37</f>
        <v>3.56</v>
      </c>
      <c r="K37" s="72" cm="1">
        <f t="array" aca="1" ref="K37" ca="1">_FV(B37,"Change (%)",TRUE)</f>
        <v>3.4860000000000004E-3</v>
      </c>
      <c r="L37" s="43"/>
    </row>
    <row r="38" spans="1:12" x14ac:dyDescent="0.2">
      <c r="A38" s="64" t="s">
        <v>384</v>
      </c>
      <c r="B38" s="64" t="e" vm="30">
        <v>#VALUE!</v>
      </c>
      <c r="C38" s="65" cm="1">
        <f t="array" aca="1" ref="C38" ca="1">_FV(B38,"Price")</f>
        <v>384.89</v>
      </c>
      <c r="D38" s="66">
        <f t="shared" ca="1" si="3"/>
        <v>384.89</v>
      </c>
      <c r="E38" s="67">
        <v>1</v>
      </c>
      <c r="F38" s="68">
        <f t="shared" ca="1" si="4"/>
        <v>384.89</v>
      </c>
      <c r="G38" s="47">
        <f t="shared" ca="1" si="0"/>
        <v>3.9231495279662902E-2</v>
      </c>
      <c r="H38" s="69">
        <f t="shared" ca="1" si="5"/>
        <v>0</v>
      </c>
      <c r="I38" s="70" t="str">
        <f t="shared" ca="1" si="6"/>
        <v>(+0.00%)</v>
      </c>
      <c r="J38" s="71" cm="1">
        <f t="array" aca="1" ref="J38" ca="1">(_FV(B38,"Change"))*E38</f>
        <v>9.32</v>
      </c>
      <c r="K38" s="72" cm="1">
        <f t="array" aca="1" ref="K38" ca="1">_FV(B38,"Change (%)",TRUE)</f>
        <v>2.4815999999999998E-2</v>
      </c>
      <c r="L38" s="43"/>
    </row>
    <row r="39" spans="1:12" x14ac:dyDescent="0.2">
      <c r="A39" s="59" t="s">
        <v>385</v>
      </c>
      <c r="B39" s="64" t="e" vm="31">
        <v>#VALUE!</v>
      </c>
      <c r="C39" s="65" cm="1">
        <f t="array" aca="1" ref="C39" ca="1">_FV(B39,"Price")</f>
        <v>351.41</v>
      </c>
      <c r="D39" s="66">
        <f t="shared" ca="1" si="3"/>
        <v>351.41</v>
      </c>
      <c r="E39" s="67">
        <v>1</v>
      </c>
      <c r="F39" s="68">
        <f t="shared" ca="1" si="4"/>
        <v>351.41</v>
      </c>
      <c r="G39" s="47">
        <f t="shared" ca="1" si="0"/>
        <v>3.581890866540139E-2</v>
      </c>
      <c r="H39" s="69">
        <f t="shared" ca="1" si="5"/>
        <v>0</v>
      </c>
      <c r="I39" s="70" t="str">
        <f t="shared" ca="1" si="6"/>
        <v>(+0.00%)</v>
      </c>
      <c r="J39" s="71" cm="1">
        <f t="array" aca="1" ref="J39" ca="1">(_FV(B39,"Change"))*E39</f>
        <v>2.75</v>
      </c>
      <c r="K39" s="72" cm="1">
        <f t="array" aca="1" ref="K39" ca="1">_FV(B39,"Change (%)",TRUE)</f>
        <v>7.8869999999999999E-3</v>
      </c>
      <c r="L39" s="43"/>
    </row>
    <row r="40" spans="1:12" x14ac:dyDescent="0.2">
      <c r="A40" s="59" t="s">
        <v>311</v>
      </c>
      <c r="B40" s="64" t="e" vm="32">
        <v>#VALUE!</v>
      </c>
      <c r="C40" s="65" cm="1">
        <f t="array" aca="1" ref="C40" ca="1">_FV(B40,"Price")</f>
        <v>157.91999999999999</v>
      </c>
      <c r="D40" s="66">
        <f t="shared" ca="1" si="3"/>
        <v>157.91999999999999</v>
      </c>
      <c r="E40" s="67">
        <v>1</v>
      </c>
      <c r="F40" s="68">
        <f t="shared" ca="1" si="4"/>
        <v>157.91999999999999</v>
      </c>
      <c r="G40" s="47">
        <f t="shared" ca="1" si="0"/>
        <v>1.6096645105262191E-2</v>
      </c>
      <c r="H40" s="69">
        <f t="shared" ca="1" si="5"/>
        <v>0</v>
      </c>
      <c r="I40" s="70" t="str">
        <f t="shared" ca="1" si="6"/>
        <v>(+0.00%)</v>
      </c>
      <c r="J40" s="71" cm="1">
        <f t="array" aca="1" ref="J40" ca="1">(_FV(B40,"Change"))*E40</f>
        <v>16.52</v>
      </c>
      <c r="K40" s="72" cm="1">
        <f t="array" aca="1" ref="K40" ca="1">_FV(B40,"Change (%)",TRUE)</f>
        <v>0.11683199999999999</v>
      </c>
      <c r="L40" s="43"/>
    </row>
    <row r="41" spans="1:12" x14ac:dyDescent="0.2">
      <c r="A41" s="59" t="s">
        <v>386</v>
      </c>
      <c r="B41" s="64" t="e" vm="33">
        <v>#VALUE!</v>
      </c>
      <c r="C41" s="65" cm="1">
        <f t="array" aca="1" ref="C41" ca="1">_FV(B41,"Price")</f>
        <v>340.51</v>
      </c>
      <c r="D41" s="66">
        <f t="shared" ca="1" si="3"/>
        <v>340.51</v>
      </c>
      <c r="E41" s="67">
        <v>1</v>
      </c>
      <c r="F41" s="68">
        <f t="shared" ca="1" si="4"/>
        <v>340.51</v>
      </c>
      <c r="G41" s="47">
        <f t="shared" ca="1" si="0"/>
        <v>3.470788136266989E-2</v>
      </c>
      <c r="H41" s="69">
        <f t="shared" ca="1" si="5"/>
        <v>0</v>
      </c>
      <c r="I41" s="70" t="str">
        <f t="shared" ca="1" si="6"/>
        <v>(+0.00%)</v>
      </c>
      <c r="J41" s="71" cm="1">
        <f t="array" aca="1" ref="J41" ca="1">(_FV(B41,"Change"))*E41</f>
        <v>8.9</v>
      </c>
      <c r="K41" s="72" cm="1">
        <f t="array" aca="1" ref="K41" ca="1">_FV(B41,"Change (%)",TRUE)</f>
        <v>2.6838999999999998E-2</v>
      </c>
      <c r="L41" s="43"/>
    </row>
    <row r="42" spans="1:12" x14ac:dyDescent="0.2">
      <c r="A42" s="64" t="s">
        <v>391</v>
      </c>
      <c r="B42" s="64" t="e" vm="34">
        <v>#VALUE!</v>
      </c>
      <c r="C42" s="65" cm="1">
        <f t="array" aca="1" ref="C42" ca="1">_FV(B42,"Price")</f>
        <v>32.83</v>
      </c>
      <c r="D42" s="66">
        <f t="shared" ca="1" si="3"/>
        <v>32.83</v>
      </c>
      <c r="E42" s="67">
        <v>1</v>
      </c>
      <c r="F42" s="68">
        <f t="shared" ca="1" si="4"/>
        <v>32.83</v>
      </c>
      <c r="G42" s="47">
        <f t="shared" ca="1" si="0"/>
        <v>3.3463326925389928E-3</v>
      </c>
      <c r="H42" s="69">
        <f t="shared" ca="1" si="5"/>
        <v>0</v>
      </c>
      <c r="I42" s="70" t="str">
        <f t="shared" ca="1" si="6"/>
        <v>(+0.00%)</v>
      </c>
      <c r="J42" s="71" cm="1">
        <f t="array" aca="1" ref="J42" ca="1">(_FV(B42,"Change"))*E42</f>
        <v>0.63500000000000001</v>
      </c>
      <c r="K42" s="72" cm="1">
        <f t="array" aca="1" ref="K42" ca="1">_FV(B42,"Change (%)",TRUE)</f>
        <v>1.9720000000000001E-2</v>
      </c>
      <c r="L42" s="43"/>
    </row>
    <row r="43" spans="1:12" x14ac:dyDescent="0.2">
      <c r="A43" s="64" t="s">
        <v>387</v>
      </c>
      <c r="B43" s="64" t="e" vm="35">
        <v>#VALUE!</v>
      </c>
      <c r="C43" s="65" cm="1">
        <f t="array" aca="1" ref="C43" ca="1">_FV(B43,"Price")</f>
        <v>34.450000000000003</v>
      </c>
      <c r="D43" s="66">
        <f t="shared" ca="1" si="3"/>
        <v>34.450000000000003</v>
      </c>
      <c r="E43" s="67">
        <v>1</v>
      </c>
      <c r="F43" s="68">
        <f t="shared" ca="1" si="4"/>
        <v>34.450000000000003</v>
      </c>
      <c r="G43" s="47">
        <f t="shared" ca="1" si="0"/>
        <v>3.5114578512935829E-3</v>
      </c>
      <c r="H43" s="69">
        <f t="shared" ca="1" si="5"/>
        <v>0</v>
      </c>
      <c r="I43" s="70" t="str">
        <f t="shared" ca="1" si="6"/>
        <v>(+0.00%)</v>
      </c>
      <c r="J43" s="71" cm="1">
        <f t="array" aca="1" ref="J43" ca="1">(_FV(B43,"Change"))*E43</f>
        <v>-0.02</v>
      </c>
      <c r="K43" s="72" cm="1">
        <f t="array" aca="1" ref="K43" ca="1">_FV(B43,"Change (%)",TRUE)</f>
        <v>-5.8020000000000001E-4</v>
      </c>
      <c r="L43" s="43"/>
    </row>
    <row r="44" spans="1:12" x14ac:dyDescent="0.2">
      <c r="A44" s="64" t="s">
        <v>388</v>
      </c>
      <c r="B44" s="64" t="e" vm="36">
        <v>#VALUE!</v>
      </c>
      <c r="C44" s="65" cm="1">
        <f t="array" aca="1" ref="C44" ca="1">_FV(B44,"Price")</f>
        <v>94.28</v>
      </c>
      <c r="D44" s="66">
        <f t="shared" ca="1" si="3"/>
        <v>94.28</v>
      </c>
      <c r="E44" s="67">
        <v>1</v>
      </c>
      <c r="F44" s="68">
        <f t="shared" ca="1" si="4"/>
        <v>94.28</v>
      </c>
      <c r="G44" s="47">
        <f t="shared" ca="1" si="0"/>
        <v>9.6098765230757319E-3</v>
      </c>
      <c r="H44" s="69">
        <f t="shared" ca="1" si="5"/>
        <v>0</v>
      </c>
      <c r="I44" s="70" t="str">
        <f t="shared" ca="1" si="6"/>
        <v>(+0.00%)</v>
      </c>
      <c r="J44" s="71" cm="1">
        <f t="array" aca="1" ref="J44" ca="1">(_FV(B44,"Change"))*E44</f>
        <v>0.69</v>
      </c>
      <c r="K44" s="72" cm="1">
        <f t="array" aca="1" ref="K44" ca="1">_FV(B44,"Change (%)",TRUE)</f>
        <v>7.3729999999999993E-3</v>
      </c>
      <c r="L44" s="43"/>
    </row>
    <row r="45" spans="1:12" x14ac:dyDescent="0.2">
      <c r="A45" s="64" t="s">
        <v>389</v>
      </c>
      <c r="B45" s="64" t="e" vm="37">
        <v>#VALUE!</v>
      </c>
      <c r="C45" s="65" cm="1">
        <f t="array" aca="1" ref="C45" ca="1">_FV(B45,"Price")</f>
        <v>15.82</v>
      </c>
      <c r="D45" s="66">
        <f t="shared" ca="1" si="3"/>
        <v>15.82</v>
      </c>
      <c r="E45" s="67">
        <v>1</v>
      </c>
      <c r="F45" s="68">
        <f t="shared" ca="1" si="4"/>
        <v>15.82</v>
      </c>
      <c r="G45" s="47">
        <f t="shared" ca="1" si="0"/>
        <v>1.6125185256158049E-3</v>
      </c>
      <c r="H45" s="69">
        <f t="shared" ca="1" si="5"/>
        <v>0</v>
      </c>
      <c r="I45" s="70" t="str">
        <f t="shared" ca="1" si="6"/>
        <v>(+0.00%)</v>
      </c>
      <c r="J45" s="71" cm="1">
        <f t="array" aca="1" ref="J45" ca="1">(_FV(B45,"Change"))*E45</f>
        <v>0.96</v>
      </c>
      <c r="K45" s="72" cm="1">
        <f t="array" aca="1" ref="K45" ca="1">_FV(B45,"Change (%)",TRUE)</f>
        <v>6.4603000000000008E-2</v>
      </c>
      <c r="L45" s="43"/>
    </row>
    <row r="46" spans="1:12" x14ac:dyDescent="0.2">
      <c r="A46" s="64" t="s">
        <v>390</v>
      </c>
      <c r="B46" s="64" t="e" vm="38">
        <v>#VALUE!</v>
      </c>
      <c r="C46" s="65" cm="1">
        <f t="array" aca="1" ref="C46" ca="1">_FV(B46,"Price")</f>
        <v>198.85</v>
      </c>
      <c r="D46" s="66">
        <f t="shared" ca="1" si="3"/>
        <v>198.85</v>
      </c>
      <c r="E46" s="67">
        <v>1</v>
      </c>
      <c r="F46" s="68">
        <f t="shared" ca="1" si="4"/>
        <v>198.85</v>
      </c>
      <c r="G46" s="47">
        <f t="shared" ca="1" si="0"/>
        <v>2.0268603591574133E-2</v>
      </c>
      <c r="H46" s="69">
        <f t="shared" ca="1" si="5"/>
        <v>0</v>
      </c>
      <c r="I46" s="70" t="str">
        <f t="shared" ca="1" si="6"/>
        <v>(+0.00%)</v>
      </c>
      <c r="J46" s="71" cm="1">
        <f t="array" aca="1" ref="J46" ca="1">(_FV(B46,"Change"))*E46</f>
        <v>-24.16</v>
      </c>
      <c r="K46" s="72" cm="1">
        <f t="array" aca="1" ref="K46" ca="1">_FV(B46,"Change (%)",TRUE)</f>
        <v>-0.108336</v>
      </c>
      <c r="L46" s="43"/>
    </row>
    <row r="47" spans="1:12" x14ac:dyDescent="0.2">
      <c r="A47" s="41" t="s">
        <v>182</v>
      </c>
      <c r="B47" s="58">
        <f ca="1">SUM(H12:H46)</f>
        <v>0</v>
      </c>
      <c r="C47" s="34"/>
      <c r="D47" s="34"/>
      <c r="E47" s="34"/>
      <c r="F47" s="34"/>
      <c r="G47" s="34"/>
      <c r="H47" s="34"/>
      <c r="I47" s="34"/>
      <c r="J47" s="34"/>
      <c r="K47" s="34"/>
      <c r="L47" s="43"/>
    </row>
    <row r="48" spans="1:12" x14ac:dyDescent="0.2">
      <c r="A48" s="74" t="s">
        <v>183</v>
      </c>
      <c r="B48" s="75">
        <v>1</v>
      </c>
      <c r="C48" s="34"/>
      <c r="D48" s="34"/>
      <c r="E48" s="34"/>
      <c r="F48" s="34"/>
      <c r="G48" s="34"/>
      <c r="H48" s="34"/>
      <c r="I48" s="34"/>
      <c r="J48" s="34"/>
      <c r="K48" s="34"/>
      <c r="L48" s="43"/>
    </row>
    <row r="49" spans="1:15" x14ac:dyDescent="0.2">
      <c r="A49" s="34"/>
      <c r="B49" s="34"/>
      <c r="C49" s="34"/>
      <c r="D49" s="34"/>
      <c r="E49" s="34"/>
      <c r="F49" s="34"/>
      <c r="G49" s="34"/>
      <c r="H49" s="34"/>
      <c r="I49" s="34"/>
      <c r="J49" s="34"/>
      <c r="K49" s="34"/>
      <c r="L49" s="43"/>
    </row>
    <row r="50" spans="1:15" x14ac:dyDescent="0.2">
      <c r="A50" s="34"/>
      <c r="B50" s="34"/>
      <c r="C50" s="34"/>
      <c r="D50" s="34"/>
      <c r="E50" s="34"/>
      <c r="F50" s="34"/>
      <c r="G50" s="34"/>
      <c r="H50" s="34"/>
      <c r="I50" s="34"/>
      <c r="J50" s="34"/>
      <c r="K50" s="34"/>
      <c r="L50" s="43"/>
    </row>
    <row r="51" spans="1:15" x14ac:dyDescent="0.2">
      <c r="A51" s="46"/>
      <c r="B51" s="34"/>
      <c r="C51" s="34"/>
      <c r="D51" s="34"/>
      <c r="E51" s="34"/>
      <c r="F51" s="73"/>
      <c r="G51" s="34"/>
      <c r="H51" s="34"/>
      <c r="I51" s="34"/>
      <c r="J51" s="34"/>
      <c r="K51" s="34"/>
      <c r="L51" s="43"/>
    </row>
    <row r="52" spans="1:15" x14ac:dyDescent="0.2">
      <c r="A52" s="46"/>
      <c r="B52" s="34"/>
      <c r="C52" s="34"/>
      <c r="D52" s="34"/>
      <c r="E52" s="34"/>
      <c r="F52" s="34"/>
      <c r="G52" s="34"/>
      <c r="H52" s="34"/>
      <c r="I52" s="34"/>
      <c r="J52" s="34"/>
      <c r="K52" s="34"/>
      <c r="L52" s="43"/>
    </row>
    <row r="53" spans="1:15" x14ac:dyDescent="0.2">
      <c r="A53" s="46"/>
      <c r="B53" s="34"/>
      <c r="C53" s="34"/>
      <c r="D53" s="34"/>
      <c r="E53" s="34"/>
      <c r="F53" s="34"/>
      <c r="G53" s="34"/>
      <c r="H53" s="34"/>
      <c r="I53" s="34"/>
      <c r="J53" s="34"/>
      <c r="K53" s="34"/>
      <c r="L53" s="43"/>
    </row>
    <row r="54" spans="1:15" x14ac:dyDescent="0.2">
      <c r="A54" s="46"/>
      <c r="B54" s="34"/>
      <c r="C54" s="34"/>
      <c r="D54" s="34"/>
      <c r="E54" s="34"/>
      <c r="F54" s="34"/>
      <c r="G54" s="34"/>
      <c r="H54" s="34"/>
      <c r="I54" s="34"/>
      <c r="J54" s="34"/>
      <c r="K54" s="34"/>
      <c r="L54" s="43"/>
    </row>
    <row r="55" spans="1:15" x14ac:dyDescent="0.2">
      <c r="A55" s="46"/>
      <c r="B55" s="34"/>
      <c r="C55" s="34"/>
      <c r="D55" s="34"/>
      <c r="E55" s="34"/>
      <c r="F55" s="34"/>
      <c r="G55" s="34"/>
      <c r="H55" s="34"/>
      <c r="I55" s="34"/>
      <c r="J55" s="34"/>
      <c r="K55" s="34"/>
      <c r="L55" s="43"/>
    </row>
    <row r="56" spans="1:15" x14ac:dyDescent="0.2">
      <c r="A56" s="46"/>
      <c r="B56" s="34"/>
      <c r="C56" s="34"/>
      <c r="D56" s="34"/>
      <c r="E56" s="34"/>
      <c r="F56" s="34"/>
      <c r="G56" s="34"/>
      <c r="H56" s="34"/>
      <c r="I56" s="34"/>
      <c r="J56" s="34"/>
      <c r="K56" s="34"/>
      <c r="L56" s="43"/>
    </row>
    <row r="57" spans="1:15" x14ac:dyDescent="0.2">
      <c r="A57" s="46"/>
      <c r="B57" s="34"/>
      <c r="C57" s="34"/>
      <c r="D57" s="34"/>
      <c r="E57" s="34"/>
      <c r="F57" s="34"/>
      <c r="G57" s="34"/>
      <c r="H57" s="34"/>
      <c r="I57" s="34"/>
      <c r="J57" s="34"/>
      <c r="K57" s="34"/>
      <c r="L57" s="43"/>
    </row>
    <row r="58" spans="1:15" x14ac:dyDescent="0.2">
      <c r="A58" s="46"/>
      <c r="B58" s="34"/>
      <c r="C58" s="34"/>
      <c r="D58" s="34"/>
      <c r="E58" s="34"/>
      <c r="F58" s="34"/>
      <c r="G58" s="34"/>
      <c r="H58" s="34"/>
      <c r="I58" s="34"/>
      <c r="J58" s="34"/>
      <c r="K58" s="34"/>
      <c r="L58" s="43"/>
      <c r="O58" s="1" t="s">
        <v>178</v>
      </c>
    </row>
    <row r="59" spans="1:15" x14ac:dyDescent="0.2">
      <c r="A59" s="46"/>
      <c r="B59" s="34"/>
      <c r="C59" s="34"/>
      <c r="D59" s="34"/>
      <c r="E59" s="34"/>
      <c r="F59" s="34"/>
      <c r="G59" s="34"/>
      <c r="H59" s="34"/>
      <c r="I59" s="34"/>
      <c r="J59" s="34"/>
      <c r="K59" s="34"/>
      <c r="L59" s="43"/>
    </row>
    <row r="60" spans="1:15" x14ac:dyDescent="0.2">
      <c r="A60" s="46"/>
      <c r="B60" s="34"/>
      <c r="C60" s="34"/>
      <c r="D60" s="34"/>
      <c r="E60" s="34"/>
      <c r="F60" s="34"/>
      <c r="G60" s="34"/>
      <c r="H60" s="34"/>
      <c r="I60" s="34"/>
      <c r="J60" s="34"/>
      <c r="K60" s="34"/>
      <c r="L60" s="43"/>
    </row>
    <row r="61" spans="1:15" x14ac:dyDescent="0.2">
      <c r="A61" s="46"/>
      <c r="B61" s="34"/>
      <c r="C61" s="34"/>
      <c r="D61" s="34"/>
      <c r="E61" s="34"/>
      <c r="F61" s="34"/>
      <c r="G61" s="34"/>
      <c r="H61" s="34"/>
      <c r="I61" s="34"/>
      <c r="J61" s="34"/>
      <c r="K61" s="34"/>
      <c r="L61" s="43"/>
    </row>
    <row r="62" spans="1:15" x14ac:dyDescent="0.2">
      <c r="A62" s="46"/>
      <c r="B62" s="34"/>
      <c r="C62" s="34"/>
      <c r="D62" s="34"/>
      <c r="E62" s="34"/>
      <c r="F62" s="34"/>
      <c r="G62" s="34"/>
      <c r="H62" s="34"/>
      <c r="I62" s="34"/>
      <c r="J62" s="34"/>
      <c r="K62" s="34"/>
      <c r="L62" s="43"/>
    </row>
    <row r="63" spans="1:15" x14ac:dyDescent="0.2">
      <c r="A63" s="46"/>
      <c r="B63" s="34"/>
      <c r="C63" s="34"/>
      <c r="D63" s="34"/>
      <c r="E63" s="34"/>
      <c r="F63" s="34"/>
      <c r="G63" s="34"/>
      <c r="H63" s="34"/>
      <c r="I63" s="34"/>
      <c r="J63" s="34"/>
      <c r="K63" s="34"/>
      <c r="L63" s="43"/>
    </row>
    <row r="64" spans="1:15" x14ac:dyDescent="0.2">
      <c r="A64" s="46"/>
      <c r="B64" s="34"/>
      <c r="C64" s="34"/>
      <c r="D64" s="34"/>
      <c r="E64" s="34"/>
      <c r="F64" s="34"/>
      <c r="G64" s="34"/>
      <c r="H64" s="34"/>
      <c r="I64" s="34"/>
      <c r="J64" s="34"/>
      <c r="K64" s="34"/>
      <c r="L64" s="43"/>
    </row>
    <row r="65" spans="1:13" x14ac:dyDescent="0.2">
      <c r="A65" s="46"/>
      <c r="B65" s="34"/>
      <c r="C65" s="34"/>
      <c r="D65" s="34"/>
      <c r="E65" s="34"/>
      <c r="F65" s="34"/>
      <c r="G65" s="34"/>
      <c r="H65" s="34"/>
      <c r="I65" s="34"/>
      <c r="J65" s="34"/>
      <c r="K65" s="34"/>
      <c r="L65" s="43"/>
    </row>
    <row r="66" spans="1:13" x14ac:dyDescent="0.2">
      <c r="A66" s="46"/>
      <c r="B66" s="34"/>
      <c r="C66" s="34"/>
      <c r="D66" s="34"/>
      <c r="E66" s="34"/>
      <c r="F66" s="34"/>
      <c r="G66" s="34"/>
      <c r="H66" s="34"/>
      <c r="I66" s="34"/>
      <c r="J66" s="34"/>
      <c r="K66" s="34"/>
      <c r="L66" s="43"/>
    </row>
    <row r="67" spans="1:13" x14ac:dyDescent="0.2">
      <c r="A67" s="46"/>
      <c r="B67" s="34"/>
      <c r="C67" s="34"/>
      <c r="D67" s="34"/>
      <c r="E67" s="34"/>
      <c r="F67" s="34"/>
      <c r="G67" s="34"/>
      <c r="H67" s="34"/>
      <c r="I67" s="34"/>
      <c r="J67" s="34"/>
      <c r="K67" s="34"/>
      <c r="L67" s="43"/>
    </row>
    <row r="68" spans="1:13" x14ac:dyDescent="0.2">
      <c r="A68" s="46"/>
      <c r="B68" s="34"/>
      <c r="C68" s="34"/>
      <c r="D68" s="34"/>
      <c r="E68" s="34"/>
      <c r="F68" s="34"/>
      <c r="G68" s="34"/>
      <c r="H68" s="34"/>
      <c r="I68" s="34"/>
      <c r="J68" s="34"/>
      <c r="K68" s="34"/>
      <c r="L68" s="43"/>
    </row>
    <row r="69" spans="1:13" x14ac:dyDescent="0.2">
      <c r="A69" s="46"/>
      <c r="B69" s="34"/>
      <c r="C69" s="34"/>
      <c r="D69" s="34"/>
      <c r="E69" s="34"/>
      <c r="F69" s="34"/>
      <c r="G69" s="34"/>
      <c r="H69" s="34"/>
      <c r="I69" s="34"/>
      <c r="J69" s="34"/>
      <c r="K69" s="34"/>
      <c r="L69" s="43"/>
    </row>
    <row r="70" spans="1:13" x14ac:dyDescent="0.2">
      <c r="A70" s="46"/>
      <c r="B70" s="34"/>
      <c r="C70" s="34"/>
      <c r="D70" s="34"/>
      <c r="E70" s="34"/>
      <c r="F70" s="34"/>
      <c r="G70" s="34"/>
      <c r="H70" s="34"/>
      <c r="I70" s="34"/>
      <c r="J70" s="34"/>
      <c r="K70" s="34"/>
      <c r="L70" s="43"/>
    </row>
    <row r="71" spans="1:13" x14ac:dyDescent="0.2">
      <c r="A71" s="46"/>
      <c r="B71" s="34"/>
      <c r="C71" s="34"/>
      <c r="D71" s="34"/>
      <c r="E71" s="34"/>
      <c r="F71" s="34"/>
      <c r="G71" s="34"/>
      <c r="H71" s="34"/>
      <c r="I71" s="34"/>
      <c r="J71" s="34"/>
      <c r="K71" s="34"/>
      <c r="L71" s="43"/>
    </row>
    <row r="72" spans="1:13" x14ac:dyDescent="0.2">
      <c r="A72" s="46"/>
      <c r="B72" s="34"/>
      <c r="C72" s="34"/>
      <c r="D72" s="34"/>
      <c r="E72" s="34"/>
      <c r="F72" s="34"/>
      <c r="G72" s="34"/>
      <c r="H72" s="34"/>
      <c r="I72" s="34"/>
      <c r="J72" s="34"/>
      <c r="K72" s="34"/>
      <c r="L72" s="43"/>
    </row>
    <row r="73" spans="1:13" x14ac:dyDescent="0.2">
      <c r="A73" s="46"/>
      <c r="B73" s="34"/>
      <c r="C73" s="34"/>
      <c r="D73" s="34"/>
      <c r="E73" s="34"/>
      <c r="F73" s="34"/>
      <c r="G73" s="34"/>
      <c r="H73" s="34"/>
      <c r="I73" s="34"/>
      <c r="J73" s="34"/>
      <c r="K73" s="34"/>
      <c r="L73" s="43"/>
    </row>
    <row r="74" spans="1:13" x14ac:dyDescent="0.2">
      <c r="A74" s="46"/>
      <c r="B74" s="34"/>
      <c r="C74" s="34"/>
      <c r="D74" s="34"/>
      <c r="E74" s="34"/>
      <c r="F74" s="34"/>
      <c r="G74" s="34"/>
      <c r="H74" s="34"/>
      <c r="I74" s="34"/>
      <c r="J74" s="34"/>
      <c r="K74" s="34"/>
      <c r="L74" s="43"/>
    </row>
    <row r="75" spans="1:13" x14ac:dyDescent="0.2">
      <c r="A75" s="46"/>
      <c r="B75" s="34"/>
      <c r="C75" s="34"/>
      <c r="D75" s="34"/>
      <c r="E75" s="34"/>
      <c r="F75" s="34"/>
      <c r="G75" s="34"/>
      <c r="H75" s="34"/>
      <c r="I75" s="34"/>
      <c r="J75" s="34"/>
      <c r="K75" s="34"/>
      <c r="L75" s="43"/>
    </row>
    <row r="76" spans="1:13" x14ac:dyDescent="0.2">
      <c r="A76" s="46"/>
      <c r="B76" s="34"/>
      <c r="C76" s="34"/>
      <c r="D76" s="34"/>
      <c r="E76" s="34"/>
      <c r="F76" s="34"/>
      <c r="G76" s="34"/>
      <c r="H76" s="34"/>
      <c r="I76" s="34"/>
      <c r="J76" s="34"/>
      <c r="K76" s="34"/>
      <c r="L76" s="43"/>
    </row>
    <row r="77" spans="1:13" x14ac:dyDescent="0.2">
      <c r="A77" s="46"/>
      <c r="B77" s="34"/>
      <c r="C77" s="34"/>
      <c r="D77" s="34"/>
      <c r="E77" s="34"/>
      <c r="F77" s="34"/>
      <c r="G77" s="34"/>
      <c r="H77" s="34"/>
      <c r="I77" s="34"/>
      <c r="J77" s="34"/>
      <c r="K77" s="34"/>
      <c r="L77" s="43"/>
    </row>
    <row r="78" spans="1:13" ht="16" x14ac:dyDescent="0.2">
      <c r="A78" s="46"/>
      <c r="B78" s="34"/>
      <c r="C78" s="34"/>
      <c r="D78" s="34"/>
      <c r="E78" s="34"/>
      <c r="F78" s="34"/>
      <c r="G78" s="34"/>
      <c r="H78" s="34"/>
      <c r="I78" s="34"/>
      <c r="J78" s="34"/>
      <c r="K78" s="34"/>
      <c r="L78" s="43"/>
      <c r="M78" s="14"/>
    </row>
    <row r="79" spans="1:13" ht="16" x14ac:dyDescent="0.2">
      <c r="A79" s="46"/>
      <c r="B79" s="34"/>
      <c r="C79" s="34"/>
      <c r="D79" s="34"/>
      <c r="E79" s="34"/>
      <c r="F79" s="34"/>
      <c r="G79" s="34"/>
      <c r="H79" s="34"/>
      <c r="I79" s="34"/>
      <c r="J79" s="34"/>
      <c r="K79" s="34"/>
      <c r="L79" s="43"/>
      <c r="M79" s="14"/>
    </row>
    <row r="80" spans="1:13" x14ac:dyDescent="0.2">
      <c r="A80" s="46"/>
      <c r="B80" s="34"/>
      <c r="C80" s="34"/>
      <c r="D80" s="34"/>
      <c r="E80" s="34"/>
      <c r="F80" s="34"/>
      <c r="G80" s="34"/>
      <c r="H80" s="34"/>
      <c r="I80" s="34"/>
      <c r="J80" s="34"/>
      <c r="K80" s="34"/>
      <c r="L80" s="43"/>
    </row>
    <row r="81" spans="1:12" x14ac:dyDescent="0.2">
      <c r="A81" s="46"/>
      <c r="B81" s="34"/>
      <c r="C81" s="34"/>
      <c r="D81" s="34"/>
      <c r="E81" s="34"/>
      <c r="F81" s="34"/>
      <c r="G81" s="34"/>
      <c r="H81" s="34"/>
      <c r="I81" s="34"/>
      <c r="J81" s="34"/>
      <c r="K81" s="34"/>
      <c r="L81" s="43"/>
    </row>
    <row r="82" spans="1:12" x14ac:dyDescent="0.2">
      <c r="A82" s="46"/>
      <c r="B82" s="34"/>
      <c r="C82" s="34"/>
      <c r="D82" s="34"/>
      <c r="E82" s="34"/>
      <c r="F82" s="34"/>
      <c r="G82" s="34"/>
      <c r="H82" s="34"/>
      <c r="I82" s="34"/>
      <c r="J82" s="34"/>
      <c r="K82" s="34"/>
      <c r="L82" s="43"/>
    </row>
    <row r="83" spans="1:12" x14ac:dyDescent="0.2">
      <c r="A83" s="46"/>
      <c r="B83" s="34"/>
      <c r="C83" s="34"/>
      <c r="D83" s="34"/>
      <c r="E83" s="34"/>
      <c r="F83" s="34"/>
      <c r="G83" s="34"/>
      <c r="H83" s="34"/>
      <c r="I83" s="34"/>
      <c r="J83" s="34"/>
      <c r="K83" s="34"/>
      <c r="L83" s="43"/>
    </row>
    <row r="84" spans="1:12" x14ac:dyDescent="0.2">
      <c r="A84" s="46"/>
      <c r="B84" s="34"/>
      <c r="C84" s="34"/>
      <c r="D84" s="34"/>
      <c r="E84" s="34"/>
      <c r="F84" s="34"/>
      <c r="G84" s="34"/>
      <c r="H84" s="34"/>
      <c r="I84" s="34"/>
      <c r="J84" s="34"/>
      <c r="K84" s="34"/>
      <c r="L84" s="43"/>
    </row>
    <row r="85" spans="1:12" x14ac:dyDescent="0.2">
      <c r="A85" s="46"/>
      <c r="B85" s="34"/>
      <c r="C85" s="34"/>
      <c r="D85" s="34"/>
      <c r="E85" s="34"/>
      <c r="F85" s="34"/>
      <c r="G85" s="34"/>
      <c r="H85" s="34"/>
      <c r="I85" s="34"/>
      <c r="J85" s="34"/>
      <c r="K85" s="34"/>
      <c r="L85" s="43"/>
    </row>
    <row r="86" spans="1:12" x14ac:dyDescent="0.2">
      <c r="A86" s="46"/>
      <c r="B86" s="34"/>
      <c r="C86" s="34"/>
      <c r="D86" s="34"/>
      <c r="E86" s="34"/>
      <c r="F86" s="34"/>
      <c r="G86" s="34"/>
      <c r="H86" s="34"/>
      <c r="I86" s="34"/>
      <c r="J86" s="34"/>
      <c r="K86" s="34"/>
      <c r="L86" s="43"/>
    </row>
    <row r="87" spans="1:12" x14ac:dyDescent="0.2">
      <c r="A87" s="46"/>
      <c r="B87" s="34"/>
      <c r="C87" s="34"/>
      <c r="D87" s="34"/>
      <c r="E87" s="34"/>
      <c r="F87" s="34"/>
      <c r="G87" s="34"/>
      <c r="H87" s="34"/>
      <c r="I87" s="34"/>
      <c r="J87" s="34"/>
      <c r="K87" s="34"/>
      <c r="L87" s="43"/>
    </row>
    <row r="88" spans="1:12" x14ac:dyDescent="0.2">
      <c r="A88" s="46"/>
      <c r="B88" s="34"/>
      <c r="C88" s="34"/>
      <c r="D88" s="34"/>
      <c r="E88" s="34"/>
      <c r="F88" s="34"/>
      <c r="G88" s="34"/>
      <c r="H88" s="34"/>
      <c r="I88" s="34"/>
      <c r="J88" s="34"/>
      <c r="K88" s="34"/>
      <c r="L88" s="43"/>
    </row>
    <row r="89" spans="1:12" x14ac:dyDescent="0.2">
      <c r="A89" s="46"/>
      <c r="B89" s="34"/>
      <c r="C89" s="34"/>
      <c r="D89" s="34"/>
      <c r="E89" s="34"/>
      <c r="F89" s="34"/>
      <c r="G89" s="34"/>
      <c r="H89" s="34"/>
      <c r="I89" s="34"/>
      <c r="J89" s="34"/>
      <c r="K89" s="34"/>
      <c r="L89" s="43"/>
    </row>
    <row r="90" spans="1:12" x14ac:dyDescent="0.2">
      <c r="A90" s="46"/>
      <c r="B90" s="34"/>
      <c r="C90" s="34"/>
      <c r="D90" s="34"/>
      <c r="E90" s="34"/>
      <c r="F90" s="34"/>
      <c r="G90" s="34"/>
      <c r="H90" s="34"/>
      <c r="I90" s="34"/>
      <c r="J90" s="34"/>
      <c r="K90" s="34"/>
      <c r="L90" s="43"/>
    </row>
    <row r="91" spans="1:12" ht="19" x14ac:dyDescent="0.25">
      <c r="A91" s="76" t="s">
        <v>185</v>
      </c>
      <c r="B91" s="77"/>
      <c r="C91" s="77"/>
      <c r="D91" s="77"/>
      <c r="E91" s="77"/>
      <c r="F91" s="77"/>
      <c r="G91" s="77"/>
      <c r="H91" s="77"/>
      <c r="I91" s="77"/>
      <c r="J91" s="77"/>
      <c r="K91" s="77"/>
      <c r="L91" s="78"/>
    </row>
    <row r="92" spans="1:12" ht="16" x14ac:dyDescent="0.2">
      <c r="A92" s="35"/>
      <c r="B92" s="36"/>
      <c r="C92" s="36"/>
      <c r="D92" s="36"/>
      <c r="E92" s="36"/>
      <c r="F92" s="36"/>
      <c r="G92" s="36"/>
      <c r="H92" s="36"/>
      <c r="I92" s="36"/>
      <c r="J92" s="36"/>
      <c r="K92" s="36"/>
      <c r="L92" s="37"/>
    </row>
    <row r="93" spans="1:12" ht="16" x14ac:dyDescent="0.2">
      <c r="A93" s="39" t="s">
        <v>176</v>
      </c>
      <c r="B93" s="40">
        <f ca="1">SUM(F102:F108)</f>
        <v>1605.19</v>
      </c>
      <c r="C93" s="34"/>
      <c r="D93" s="41" t="s">
        <v>25</v>
      </c>
      <c r="E93" s="42">
        <f ca="1">B93</f>
        <v>1605.19</v>
      </c>
      <c r="F93" s="34"/>
      <c r="G93" s="34"/>
      <c r="H93" s="34"/>
      <c r="I93" s="34"/>
      <c r="J93" s="34"/>
      <c r="K93" s="34"/>
      <c r="L93" s="43"/>
    </row>
    <row r="94" spans="1:12" ht="16" x14ac:dyDescent="0.2">
      <c r="A94" s="44" t="s">
        <v>20</v>
      </c>
      <c r="B94" s="79" t="str">
        <f ca="1">IF(B110&gt;=0, "+" &amp; TEXT(B110,"$#,##0.00") &amp; " (+" &amp; TEXT(B110/B95,"0.00%") &amp; ")", TEXT(B110,"$#,##0.00") &amp; " (" &amp; TEXT(B110/B95,"0.00%") &amp; ")")</f>
        <v>+$0.00 (+0.00%)</v>
      </c>
      <c r="C94" s="34"/>
      <c r="D94" s="46" t="s">
        <v>21</v>
      </c>
      <c r="E94" s="47">
        <f ca="1">B100/B93</f>
        <v>1</v>
      </c>
      <c r="F94" s="34"/>
      <c r="G94" s="34"/>
      <c r="H94" s="34"/>
      <c r="I94" s="34"/>
      <c r="J94" s="34"/>
      <c r="K94" s="34"/>
      <c r="L94" s="43"/>
    </row>
    <row r="95" spans="1:12" ht="16" x14ac:dyDescent="0.2">
      <c r="A95" s="51" t="s">
        <v>190</v>
      </c>
      <c r="B95" s="80">
        <f ca="1">SUM(F102:F108)</f>
        <v>1605.19</v>
      </c>
      <c r="C95" s="34"/>
      <c r="D95" s="50" t="s">
        <v>188</v>
      </c>
      <c r="E95" s="47">
        <f ca="1">1-E94</f>
        <v>0</v>
      </c>
      <c r="F95" s="34"/>
      <c r="G95" s="34"/>
      <c r="H95" s="34"/>
      <c r="I95" s="34"/>
      <c r="J95" s="34"/>
      <c r="K95" s="34"/>
      <c r="L95" s="43"/>
    </row>
    <row r="96" spans="1:12" x14ac:dyDescent="0.2">
      <c r="A96" s="46"/>
      <c r="B96" s="34"/>
      <c r="C96" s="34"/>
      <c r="D96" s="34"/>
      <c r="E96" s="34"/>
      <c r="F96" s="34"/>
      <c r="G96" s="34"/>
      <c r="H96" s="34"/>
      <c r="I96" s="34"/>
      <c r="J96" s="34"/>
      <c r="K96" s="34"/>
      <c r="L96" s="43"/>
    </row>
    <row r="97" spans="1:12" x14ac:dyDescent="0.2">
      <c r="A97" s="46"/>
      <c r="B97" s="34"/>
      <c r="C97" s="81"/>
      <c r="D97" s="34"/>
      <c r="E97" s="34"/>
      <c r="F97" s="34"/>
      <c r="G97" s="34"/>
      <c r="H97" s="34"/>
      <c r="I97" s="34"/>
      <c r="J97" s="34"/>
      <c r="K97" s="34"/>
      <c r="L97" s="43"/>
    </row>
    <row r="98" spans="1:12" x14ac:dyDescent="0.2">
      <c r="A98" s="46"/>
      <c r="B98" s="34"/>
      <c r="C98" s="34"/>
      <c r="D98" s="34"/>
      <c r="E98" s="34"/>
      <c r="F98" s="34"/>
      <c r="G98" s="34"/>
      <c r="H98" s="34"/>
      <c r="I98" s="34"/>
      <c r="J98" s="34"/>
      <c r="K98" s="34"/>
      <c r="L98" s="43"/>
    </row>
    <row r="99" spans="1:12" x14ac:dyDescent="0.2">
      <c r="A99" s="54" t="s">
        <v>171</v>
      </c>
      <c r="B99" s="55" t="s">
        <v>179</v>
      </c>
      <c r="C99" s="34"/>
      <c r="D99" s="34"/>
      <c r="E99" s="34"/>
      <c r="F99" s="34"/>
      <c r="G99" s="56"/>
      <c r="H99" s="34"/>
      <c r="I99" s="34"/>
      <c r="J99" s="34"/>
      <c r="K99" s="34"/>
      <c r="L99" s="43"/>
    </row>
    <row r="100" spans="1:12" x14ac:dyDescent="0.2">
      <c r="A100" s="57">
        <v>8</v>
      </c>
      <c r="B100" s="75">
        <f ca="1">SUM(F102:F109)</f>
        <v>1605.19</v>
      </c>
      <c r="C100" s="34"/>
      <c r="D100" s="34"/>
      <c r="E100" s="34"/>
      <c r="F100" s="34"/>
      <c r="G100" s="34"/>
      <c r="H100" s="34"/>
      <c r="I100" s="34"/>
      <c r="J100" s="34"/>
      <c r="K100" s="34"/>
      <c r="L100" s="43"/>
    </row>
    <row r="101" spans="1:12" x14ac:dyDescent="0.2">
      <c r="A101" s="59" t="s">
        <v>147</v>
      </c>
      <c r="B101" s="59" t="s">
        <v>17</v>
      </c>
      <c r="C101" s="60" t="s">
        <v>9</v>
      </c>
      <c r="D101" s="60" t="s">
        <v>19</v>
      </c>
      <c r="E101" s="60" t="s">
        <v>18</v>
      </c>
      <c r="F101" s="60" t="s">
        <v>21</v>
      </c>
      <c r="G101" s="60" t="s">
        <v>180</v>
      </c>
      <c r="H101" s="61" t="s">
        <v>174</v>
      </c>
      <c r="I101" s="62"/>
      <c r="J101" s="61" t="s">
        <v>175</v>
      </c>
      <c r="K101" s="63"/>
      <c r="L101" s="43"/>
    </row>
    <row r="102" spans="1:12" x14ac:dyDescent="0.2">
      <c r="A102" s="64" t="s">
        <v>187</v>
      </c>
      <c r="B102" s="64" t="e" vm="24">
        <v>#VALUE!</v>
      </c>
      <c r="C102" s="82" cm="1">
        <f t="array" aca="1" ref="C102" ca="1">_FV(B102,"Price")</f>
        <v>57.79</v>
      </c>
      <c r="D102" s="83">
        <f ca="1">C102</f>
        <v>57.79</v>
      </c>
      <c r="E102" s="67">
        <v>1</v>
      </c>
      <c r="F102" s="83">
        <f ca="1">C102*E102</f>
        <v>57.79</v>
      </c>
      <c r="G102" s="47">
        <f ca="1">F102/$B$93</f>
        <v>3.6001968614307336E-2</v>
      </c>
      <c r="H102" s="69">
        <f ca="1">(C102 - D102) * E102</f>
        <v>0</v>
      </c>
      <c r="I102" s="70" t="str">
        <f ca="1">IF((C102-D102)/D102&lt;0,
"(" &amp; TEXT((C102-D102)/D102,"0.00%") &amp; ")",
"(+" &amp; TEXT((C102-D102)/D102,"0.00%") &amp; ")")</f>
        <v>(+0.00%)</v>
      </c>
      <c r="J102" s="71" cm="1">
        <f t="array" aca="1" ref="J102" ca="1">(_FV(B102,"Change"))*E102</f>
        <v>0.38</v>
      </c>
      <c r="K102" s="72" cm="1">
        <f t="array" aca="1" ref="K102" ca="1">_FV(B102,"Change (%)",TRUE)</f>
        <v>6.6190000000000008E-3</v>
      </c>
      <c r="L102" s="43"/>
    </row>
    <row r="103" spans="1:12" x14ac:dyDescent="0.2">
      <c r="A103" s="64" t="s">
        <v>383</v>
      </c>
      <c r="B103" s="64" t="e" vm="28">
        <v>#VALUE!</v>
      </c>
      <c r="C103" s="82" cm="1">
        <f t="array" aca="1" ref="C103" ca="1">_FV(B103,"Price")</f>
        <v>80.540000000000006</v>
      </c>
      <c r="D103" s="87">
        <f ca="1">C103</f>
        <v>80.540000000000006</v>
      </c>
      <c r="E103" s="67">
        <v>1</v>
      </c>
      <c r="F103" s="83">
        <f t="shared" ref="F103:F108" ca="1" si="7">C103*E103</f>
        <v>80.540000000000006</v>
      </c>
      <c r="G103" s="47">
        <f t="shared" ref="G103:G108" ca="1" si="8">F103/$B$93</f>
        <v>5.0174745668737038E-2</v>
      </c>
      <c r="H103" s="69">
        <f t="shared" ref="H103:H108" ca="1" si="9">(C103 - D103) * E103</f>
        <v>0</v>
      </c>
      <c r="I103" s="70" t="str">
        <f t="shared" ref="I103:I108" ca="1" si="10">IF((C103-D103)/D103&lt;0,
"(" &amp; TEXT((C103-D103)/D103,"0.00%") &amp; ")",
"(+" &amp; TEXT((C103-D103)/D103,"0.00%") &amp; ")")</f>
        <v>(+0.00%)</v>
      </c>
      <c r="J103" s="71" cm="1">
        <f t="array" aca="1" ref="J103" ca="1">(_FV(B103,"Change"))*E103</f>
        <v>0.87</v>
      </c>
      <c r="K103" s="72" cm="1">
        <f t="array" aca="1" ref="K103" ca="1">_FV(B103,"Change (%)",TRUE)</f>
        <v>1.0920000000000001E-2</v>
      </c>
      <c r="L103" s="43"/>
    </row>
    <row r="104" spans="1:12" x14ac:dyDescent="0.2">
      <c r="A104" s="64" t="s">
        <v>154</v>
      </c>
      <c r="B104" s="64" t="e" vm="7">
        <v>#VALUE!</v>
      </c>
      <c r="C104" s="82" cm="1">
        <f t="array" aca="1" ref="C104" ca="1">_FV(B104,"Price")</f>
        <v>689.17</v>
      </c>
      <c r="D104" s="87">
        <f t="shared" ref="D104:D108" ca="1" si="11">C104</f>
        <v>689.17</v>
      </c>
      <c r="E104" s="67">
        <v>1</v>
      </c>
      <c r="F104" s="83">
        <f t="shared" ca="1" si="7"/>
        <v>689.17</v>
      </c>
      <c r="G104" s="47">
        <f t="shared" ca="1" si="8"/>
        <v>0.42933858297148619</v>
      </c>
      <c r="H104" s="69">
        <f t="shared" ca="1" si="9"/>
        <v>0</v>
      </c>
      <c r="I104" s="70" t="str">
        <f t="shared" ca="1" si="10"/>
        <v>(+0.00%)</v>
      </c>
      <c r="J104" s="71" cm="1">
        <f t="array" aca="1" ref="J104" ca="1">(_FV(B104,"Change"))*E104</f>
        <v>1.6</v>
      </c>
      <c r="K104" s="72" cm="1">
        <f t="array" aca="1" ref="K104" ca="1">_FV(B104,"Change (%)",TRUE)</f>
        <v>2.3270000000000001E-3</v>
      </c>
      <c r="L104" s="43"/>
    </row>
    <row r="105" spans="1:12" x14ac:dyDescent="0.2">
      <c r="A105" s="64" t="s">
        <v>380</v>
      </c>
      <c r="B105" s="64" t="e" vm="25">
        <v>#VALUE!</v>
      </c>
      <c r="C105" s="82" cm="1">
        <f t="array" aca="1" ref="C105" ca="1">_FV(B105,"Price")</f>
        <v>43.94</v>
      </c>
      <c r="D105" s="87">
        <f t="shared" ca="1" si="11"/>
        <v>43.94</v>
      </c>
      <c r="E105" s="67">
        <v>1</v>
      </c>
      <c r="F105" s="83">
        <f t="shared" ca="1" si="7"/>
        <v>43.94</v>
      </c>
      <c r="G105" s="47">
        <f t="shared" ca="1" si="8"/>
        <v>2.7373706539412776E-2</v>
      </c>
      <c r="H105" s="69">
        <f t="shared" ca="1" si="9"/>
        <v>0</v>
      </c>
      <c r="I105" s="70" t="str">
        <f t="shared" ca="1" si="10"/>
        <v>(+0.00%)</v>
      </c>
      <c r="J105" s="71" cm="1">
        <f t="array" aca="1" ref="J105" ca="1">(_FV(B105,"Change"))*E105</f>
        <v>0.02</v>
      </c>
      <c r="K105" s="72" cm="1">
        <f t="array" aca="1" ref="K105" ca="1">_FV(B105,"Change (%)",TRUE)</f>
        <v>4.5539999999999996E-4</v>
      </c>
      <c r="L105" s="43"/>
    </row>
    <row r="106" spans="1:12" x14ac:dyDescent="0.2">
      <c r="A106" s="64" t="s">
        <v>153</v>
      </c>
      <c r="B106" s="64" t="e" vm="6">
        <v>#VALUE!</v>
      </c>
      <c r="C106" s="82" cm="1">
        <f t="array" aca="1" ref="C106" ca="1">_FV(B106,"Price")</f>
        <v>625.58000000000004</v>
      </c>
      <c r="D106" s="87">
        <f t="shared" ca="1" si="11"/>
        <v>625.58000000000004</v>
      </c>
      <c r="E106" s="67">
        <v>1</v>
      </c>
      <c r="F106" s="83">
        <f t="shared" ca="1" si="7"/>
        <v>625.58000000000004</v>
      </c>
      <c r="G106" s="47">
        <f t="shared" ca="1" si="8"/>
        <v>0.38972333493231331</v>
      </c>
      <c r="H106" s="69">
        <f t="shared" ca="1" si="9"/>
        <v>0</v>
      </c>
      <c r="I106" s="70" t="str">
        <f t="shared" ca="1" si="10"/>
        <v>(+0.00%)</v>
      </c>
      <c r="J106" s="71" cm="1">
        <f t="array" aca="1" ref="J106" ca="1">(_FV(B106,"Change"))*E106</f>
        <v>-2.0299999999999998</v>
      </c>
      <c r="K106" s="72" cm="1">
        <f t="array" aca="1" ref="K106" ca="1">_FV(B106,"Change (%)",TRUE)</f>
        <v>-3.2340000000000003E-3</v>
      </c>
      <c r="L106" s="43"/>
    </row>
    <row r="107" spans="1:12" x14ac:dyDescent="0.2">
      <c r="A107" s="64" t="s">
        <v>392</v>
      </c>
      <c r="B107" s="64" t="e" vm="39">
        <v>#VALUE!</v>
      </c>
      <c r="C107" s="82" cm="1">
        <f t="array" aca="1" ref="C107" ca="1">_FV(B107,"Price")</f>
        <v>55.02</v>
      </c>
      <c r="D107" s="87">
        <f t="shared" ca="1" si="11"/>
        <v>55.02</v>
      </c>
      <c r="E107" s="67">
        <v>1</v>
      </c>
      <c r="F107" s="83">
        <f t="shared" ca="1" si="7"/>
        <v>55.02</v>
      </c>
      <c r="G107" s="47">
        <f t="shared" ca="1" si="8"/>
        <v>3.427631619932843E-2</v>
      </c>
      <c r="H107" s="69">
        <f t="shared" ca="1" si="9"/>
        <v>0</v>
      </c>
      <c r="I107" s="70" t="str">
        <f t="shared" ca="1" si="10"/>
        <v>(+0.00%)</v>
      </c>
      <c r="J107" s="71" cm="1">
        <f t="array" aca="1" ref="J107" ca="1">(_FV(B107,"Change"))*E107</f>
        <v>-0.08</v>
      </c>
      <c r="K107" s="72" cm="1">
        <f t="array" aca="1" ref="K107" ca="1">_FV(B107,"Change (%)",TRUE)</f>
        <v>-1.4519999999999999E-3</v>
      </c>
      <c r="L107" s="43"/>
    </row>
    <row r="108" spans="1:12" x14ac:dyDescent="0.2">
      <c r="A108" s="64" t="s">
        <v>393</v>
      </c>
      <c r="B108" s="64" t="e" vm="40">
        <v>#VALUE!</v>
      </c>
      <c r="C108" s="82" cm="1">
        <f t="array" aca="1" ref="C108" ca="1">_FV(B108,"Price")</f>
        <v>53.15</v>
      </c>
      <c r="D108" s="87">
        <f t="shared" ca="1" si="11"/>
        <v>53.15</v>
      </c>
      <c r="E108" s="67">
        <v>1</v>
      </c>
      <c r="F108" s="83">
        <f t="shared" ca="1" si="7"/>
        <v>53.15</v>
      </c>
      <c r="G108" s="47">
        <f t="shared" ca="1" si="8"/>
        <v>3.3111345074414864E-2</v>
      </c>
      <c r="H108" s="69">
        <f t="shared" ca="1" si="9"/>
        <v>0</v>
      </c>
      <c r="I108" s="70" t="str">
        <f t="shared" ca="1" si="10"/>
        <v>(+0.00%)</v>
      </c>
      <c r="J108" s="71" cm="1">
        <f t="array" aca="1" ref="J108" ca="1">(_FV(B108,"Change"))*E108</f>
        <v>0.11</v>
      </c>
      <c r="K108" s="72" cm="1">
        <f t="array" aca="1" ref="K108" ca="1">_FV(B108,"Change (%)",TRUE)</f>
        <v>2.0739999999999999E-3</v>
      </c>
      <c r="L108" s="43"/>
    </row>
    <row r="109" spans="1:12" x14ac:dyDescent="0.2">
      <c r="A109" s="64" t="s">
        <v>394</v>
      </c>
      <c r="B109" s="64"/>
      <c r="C109" s="86">
        <v>533.29</v>
      </c>
      <c r="D109" s="87"/>
      <c r="E109" s="85"/>
      <c r="F109" s="83"/>
      <c r="G109" s="47"/>
      <c r="H109" s="69"/>
      <c r="I109" s="70"/>
      <c r="J109" s="69"/>
      <c r="K109" s="72"/>
      <c r="L109" s="43"/>
    </row>
    <row r="110" spans="1:12" x14ac:dyDescent="0.2">
      <c r="A110" s="41" t="s">
        <v>182</v>
      </c>
      <c r="B110" s="75">
        <f ca="1">B93-B95</f>
        <v>0</v>
      </c>
      <c r="C110" s="34"/>
      <c r="D110" s="34"/>
      <c r="E110" s="34"/>
      <c r="F110" s="34"/>
      <c r="G110" s="34"/>
      <c r="H110" s="34"/>
      <c r="I110" s="34"/>
      <c r="J110" s="34"/>
      <c r="K110" s="34"/>
      <c r="L110" s="43"/>
    </row>
    <row r="111" spans="1:12" x14ac:dyDescent="0.2">
      <c r="A111" s="34"/>
      <c r="B111" s="34"/>
      <c r="C111" s="34"/>
      <c r="D111" s="34"/>
      <c r="E111" s="34"/>
      <c r="F111" s="34"/>
      <c r="G111" s="34"/>
      <c r="H111" s="34"/>
      <c r="I111" s="34"/>
      <c r="J111" s="34"/>
      <c r="K111" s="34"/>
      <c r="L111" s="43"/>
    </row>
    <row r="112" spans="1:12" x14ac:dyDescent="0.2">
      <c r="A112" s="46"/>
      <c r="B112" s="34"/>
      <c r="C112" s="34"/>
      <c r="D112" s="34"/>
      <c r="E112" s="34"/>
      <c r="F112" s="34"/>
      <c r="G112" s="34"/>
      <c r="H112" s="34"/>
      <c r="I112" s="34"/>
      <c r="J112" s="34"/>
      <c r="K112" s="34"/>
      <c r="L112" s="43"/>
    </row>
    <row r="113" spans="1:12" x14ac:dyDescent="0.2">
      <c r="A113" s="46"/>
      <c r="B113" s="34"/>
      <c r="C113" s="34"/>
      <c r="D113" s="34"/>
      <c r="E113" s="34"/>
      <c r="F113" s="34"/>
      <c r="G113" s="34"/>
      <c r="H113" s="34"/>
      <c r="I113" s="34"/>
      <c r="J113" s="34"/>
      <c r="K113" s="34"/>
      <c r="L113" s="43"/>
    </row>
    <row r="114" spans="1:12" x14ac:dyDescent="0.2">
      <c r="A114" s="46"/>
      <c r="B114" s="34"/>
      <c r="C114" s="34"/>
      <c r="D114" s="34"/>
      <c r="E114" s="34"/>
      <c r="F114" s="34"/>
      <c r="G114" s="34"/>
      <c r="H114" s="34"/>
      <c r="I114" s="34"/>
      <c r="J114" s="34"/>
      <c r="K114" s="34"/>
      <c r="L114" s="43"/>
    </row>
    <row r="115" spans="1:12" x14ac:dyDescent="0.2">
      <c r="A115" s="46"/>
      <c r="B115" s="34"/>
      <c r="C115" s="34"/>
      <c r="D115" s="34"/>
      <c r="E115" s="34"/>
      <c r="F115" s="34"/>
      <c r="G115" s="34"/>
      <c r="H115" s="34"/>
      <c r="I115" s="34"/>
      <c r="J115" s="34"/>
      <c r="K115" s="34"/>
      <c r="L115" s="43"/>
    </row>
    <row r="116" spans="1:12" x14ac:dyDescent="0.2">
      <c r="A116" s="46"/>
      <c r="B116" s="34"/>
      <c r="C116" s="34"/>
      <c r="D116" s="34"/>
      <c r="E116" s="34"/>
      <c r="F116" s="34"/>
      <c r="G116" s="34"/>
      <c r="H116" s="34"/>
      <c r="I116" s="34"/>
      <c r="J116" s="34"/>
      <c r="K116" s="34"/>
      <c r="L116" s="43"/>
    </row>
    <row r="117" spans="1:12" x14ac:dyDescent="0.2">
      <c r="A117" s="46"/>
      <c r="B117" s="34"/>
      <c r="C117" s="34"/>
      <c r="D117" s="34"/>
      <c r="E117" s="34"/>
      <c r="F117" s="34"/>
      <c r="G117" s="34"/>
      <c r="H117" s="34"/>
      <c r="I117" s="34"/>
      <c r="J117" s="34"/>
      <c r="K117" s="34"/>
      <c r="L117" s="43"/>
    </row>
    <row r="118" spans="1:12" x14ac:dyDescent="0.2">
      <c r="A118" s="46"/>
      <c r="B118" s="34"/>
      <c r="C118" s="34"/>
      <c r="D118" s="34"/>
      <c r="E118" s="34"/>
      <c r="F118" s="34"/>
      <c r="G118" s="34"/>
      <c r="H118" s="34"/>
      <c r="I118" s="34"/>
      <c r="J118" s="34"/>
      <c r="K118" s="34"/>
      <c r="L118" s="43"/>
    </row>
    <row r="119" spans="1:12" x14ac:dyDescent="0.2">
      <c r="A119" s="46"/>
      <c r="B119" s="34"/>
      <c r="C119" s="34"/>
      <c r="D119" s="34"/>
      <c r="E119" s="34"/>
      <c r="F119" s="34"/>
      <c r="G119" s="34"/>
      <c r="H119" s="34"/>
      <c r="I119" s="34"/>
      <c r="J119" s="34"/>
      <c r="K119" s="34"/>
      <c r="L119" s="43"/>
    </row>
    <row r="120" spans="1:12" x14ac:dyDescent="0.2">
      <c r="A120" s="46"/>
      <c r="B120" s="34"/>
      <c r="C120" s="34"/>
      <c r="D120" s="34"/>
      <c r="E120" s="34"/>
      <c r="F120" s="34"/>
      <c r="G120" s="34"/>
      <c r="H120" s="34"/>
      <c r="I120" s="34"/>
      <c r="J120" s="34"/>
      <c r="K120" s="34"/>
      <c r="L120" s="43"/>
    </row>
    <row r="121" spans="1:12" x14ac:dyDescent="0.2">
      <c r="A121" s="46"/>
      <c r="B121" s="34"/>
      <c r="C121" s="34"/>
      <c r="D121" s="34"/>
      <c r="E121" s="34"/>
      <c r="F121" s="34"/>
      <c r="G121" s="34"/>
      <c r="H121" s="34"/>
      <c r="I121" s="34"/>
      <c r="J121" s="34"/>
      <c r="K121" s="34"/>
      <c r="L121" s="43"/>
    </row>
    <row r="122" spans="1:12" x14ac:dyDescent="0.2">
      <c r="A122" s="46"/>
      <c r="B122" s="34"/>
      <c r="C122" s="34"/>
      <c r="D122" s="34"/>
      <c r="E122" s="34"/>
      <c r="F122" s="34"/>
      <c r="G122" s="34"/>
      <c r="H122" s="34"/>
      <c r="I122" s="34"/>
      <c r="J122" s="34"/>
      <c r="K122" s="34"/>
      <c r="L122" s="43"/>
    </row>
    <row r="123" spans="1:12" x14ac:dyDescent="0.2">
      <c r="A123" s="46"/>
      <c r="B123" s="34"/>
      <c r="C123" s="34"/>
      <c r="D123" s="34"/>
      <c r="E123" s="34"/>
      <c r="F123" s="34"/>
      <c r="G123" s="34"/>
      <c r="H123" s="34"/>
      <c r="I123" s="34"/>
      <c r="J123" s="34"/>
      <c r="K123" s="34"/>
      <c r="L123" s="43"/>
    </row>
    <row r="124" spans="1:12" x14ac:dyDescent="0.2">
      <c r="A124" s="46"/>
      <c r="B124" s="34"/>
      <c r="C124" s="34"/>
      <c r="D124" s="34"/>
      <c r="E124" s="34"/>
      <c r="F124" s="34"/>
      <c r="G124" s="34"/>
      <c r="H124" s="34"/>
      <c r="I124" s="34"/>
      <c r="J124" s="34"/>
      <c r="K124" s="34"/>
      <c r="L124" s="43"/>
    </row>
    <row r="125" spans="1:12" x14ac:dyDescent="0.2">
      <c r="A125" s="46"/>
      <c r="B125" s="34"/>
      <c r="C125" s="34"/>
      <c r="D125" s="34"/>
      <c r="E125" s="34"/>
      <c r="F125" s="34"/>
      <c r="G125" s="34"/>
      <c r="H125" s="34"/>
      <c r="I125" s="34"/>
      <c r="J125" s="34"/>
      <c r="K125" s="34"/>
      <c r="L125" s="43"/>
    </row>
    <row r="126" spans="1:12" x14ac:dyDescent="0.2">
      <c r="A126" s="46"/>
      <c r="B126" s="34"/>
      <c r="C126" s="34"/>
      <c r="D126" s="34"/>
      <c r="E126" s="34"/>
      <c r="F126" s="34"/>
      <c r="G126" s="34"/>
      <c r="H126" s="34"/>
      <c r="I126" s="34"/>
      <c r="J126" s="34"/>
      <c r="K126" s="34"/>
      <c r="L126" s="43"/>
    </row>
    <row r="127" spans="1:12" x14ac:dyDescent="0.2">
      <c r="A127" s="46"/>
      <c r="B127" s="34"/>
      <c r="C127" s="34"/>
      <c r="D127" s="34"/>
      <c r="E127" s="34"/>
      <c r="F127" s="34"/>
      <c r="G127" s="34"/>
      <c r="H127" s="34"/>
      <c r="I127" s="34"/>
      <c r="J127" s="34"/>
      <c r="K127" s="34"/>
      <c r="L127" s="43"/>
    </row>
    <row r="128" spans="1:12" x14ac:dyDescent="0.2">
      <c r="A128" s="46"/>
      <c r="B128" s="34"/>
      <c r="C128" s="34"/>
      <c r="D128" s="34"/>
      <c r="E128" s="34"/>
      <c r="F128" s="34"/>
      <c r="G128" s="34"/>
      <c r="H128" s="34"/>
      <c r="I128" s="34"/>
      <c r="J128" s="34"/>
      <c r="K128" s="34"/>
      <c r="L128" s="43"/>
    </row>
    <row r="129" spans="1:12" x14ac:dyDescent="0.2">
      <c r="A129" s="46"/>
      <c r="B129" s="34"/>
      <c r="C129" s="34"/>
      <c r="D129" s="34"/>
      <c r="E129" s="34"/>
      <c r="F129" s="34"/>
      <c r="G129" s="34"/>
      <c r="H129" s="34"/>
      <c r="I129" s="34"/>
      <c r="J129" s="34"/>
      <c r="K129" s="34"/>
      <c r="L129" s="43"/>
    </row>
    <row r="130" spans="1:12" x14ac:dyDescent="0.2">
      <c r="A130" s="46"/>
      <c r="B130" s="34"/>
      <c r="C130" s="34"/>
      <c r="D130" s="34"/>
      <c r="E130" s="34"/>
      <c r="F130" s="34"/>
      <c r="G130" s="34"/>
      <c r="H130" s="34"/>
      <c r="I130" s="34"/>
      <c r="J130" s="34"/>
      <c r="K130" s="34"/>
      <c r="L130" s="43"/>
    </row>
    <row r="131" spans="1:12" x14ac:dyDescent="0.2">
      <c r="A131" s="46"/>
      <c r="B131" s="34"/>
      <c r="C131" s="34"/>
      <c r="D131" s="34"/>
      <c r="E131" s="34"/>
      <c r="F131" s="34"/>
      <c r="G131" s="34"/>
      <c r="H131" s="34"/>
      <c r="I131" s="34"/>
      <c r="J131" s="34"/>
      <c r="K131" s="34"/>
      <c r="L131" s="43"/>
    </row>
    <row r="132" spans="1:12" x14ac:dyDescent="0.2">
      <c r="A132" s="46"/>
      <c r="B132" s="34"/>
      <c r="C132" s="34"/>
      <c r="D132" s="34"/>
      <c r="E132" s="34"/>
      <c r="F132" s="34"/>
      <c r="G132" s="34"/>
      <c r="H132" s="34"/>
      <c r="I132" s="34"/>
      <c r="J132" s="34"/>
      <c r="K132" s="34"/>
      <c r="L132" s="43"/>
    </row>
    <row r="133" spans="1:12" x14ac:dyDescent="0.2">
      <c r="A133" s="46"/>
      <c r="B133" s="34"/>
      <c r="C133" s="34"/>
      <c r="D133" s="34"/>
      <c r="E133" s="34"/>
      <c r="F133" s="34"/>
      <c r="G133" s="34"/>
      <c r="H133" s="34"/>
      <c r="I133" s="34"/>
      <c r="J133" s="34"/>
      <c r="K133" s="34"/>
      <c r="L133" s="43"/>
    </row>
    <row r="134" spans="1:12" x14ac:dyDescent="0.2">
      <c r="A134" s="46"/>
      <c r="B134" s="34"/>
      <c r="C134" s="34"/>
      <c r="D134" s="34"/>
      <c r="E134" s="34"/>
      <c r="F134" s="34"/>
      <c r="G134" s="34"/>
      <c r="H134" s="34"/>
      <c r="I134" s="34"/>
      <c r="J134" s="34"/>
      <c r="K134" s="34"/>
      <c r="L134" s="43"/>
    </row>
    <row r="135" spans="1:12" x14ac:dyDescent="0.2">
      <c r="A135" s="46"/>
      <c r="B135" s="34"/>
      <c r="C135" s="34"/>
      <c r="D135" s="34"/>
      <c r="E135" s="34"/>
      <c r="F135" s="34"/>
      <c r="G135" s="34"/>
      <c r="H135" s="34"/>
      <c r="I135" s="34"/>
      <c r="J135" s="34"/>
      <c r="K135" s="34"/>
      <c r="L135" s="43"/>
    </row>
    <row r="136" spans="1:12" x14ac:dyDescent="0.2">
      <c r="A136" s="46"/>
      <c r="B136" s="34"/>
      <c r="C136" s="34"/>
      <c r="D136" s="34"/>
      <c r="E136" s="34"/>
      <c r="F136" s="34"/>
      <c r="G136" s="34"/>
      <c r="H136" s="34"/>
      <c r="I136" s="34"/>
      <c r="J136" s="34"/>
      <c r="K136" s="34"/>
      <c r="L136" s="43"/>
    </row>
    <row r="137" spans="1:12" x14ac:dyDescent="0.2">
      <c r="A137" s="46"/>
      <c r="B137" s="34"/>
      <c r="C137" s="34"/>
      <c r="D137" s="34"/>
      <c r="E137" s="34"/>
      <c r="F137" s="34"/>
      <c r="G137" s="34"/>
      <c r="H137" s="34"/>
      <c r="I137" s="34"/>
      <c r="J137" s="34"/>
      <c r="K137" s="34"/>
      <c r="L137" s="43"/>
    </row>
    <row r="138" spans="1:12" x14ac:dyDescent="0.2">
      <c r="A138" s="46"/>
      <c r="B138" s="34"/>
      <c r="C138" s="34"/>
      <c r="D138" s="34"/>
      <c r="E138" s="34"/>
      <c r="F138" s="34"/>
      <c r="G138" s="34"/>
      <c r="H138" s="34"/>
      <c r="I138" s="34"/>
      <c r="J138" s="34"/>
      <c r="K138" s="34"/>
      <c r="L138" s="43"/>
    </row>
    <row r="139" spans="1:12" x14ac:dyDescent="0.2">
      <c r="A139" s="50"/>
      <c r="B139" s="88"/>
      <c r="C139" s="88"/>
      <c r="D139" s="88"/>
      <c r="E139" s="88"/>
      <c r="F139" s="88"/>
      <c r="G139" s="88"/>
      <c r="H139" s="88"/>
      <c r="I139" s="88"/>
      <c r="J139" s="88"/>
      <c r="K139" s="88"/>
      <c r="L139" s="89"/>
    </row>
  </sheetData>
  <sheetProtection algorithmName="SHA-512" hashValue="XP6LJJ0WRQijA6olVNsQXleO2SVWIoEjNqsLpCaW4Cv1p/C7BUf9KdjCYYJY/0JViFreasFsRS63Xf1i+NWheg==" saltValue="jp+AMAftj1MdcGX3rWpUog==" spinCount="100000" sheet="1" objects="1" scenarios="1"/>
  <mergeCells count="1">
    <mergeCell ref="A1:L1"/>
  </mergeCells>
  <conditionalFormatting sqref="B4">
    <cfRule type="cellIs" dxfId="40" priority="24" operator="greaterThan">
      <formula>0</formula>
    </cfRule>
  </conditionalFormatting>
  <conditionalFormatting sqref="B4:B5">
    <cfRule type="cellIs" dxfId="39" priority="20" operator="lessThan">
      <formula>0</formula>
    </cfRule>
  </conditionalFormatting>
  <conditionalFormatting sqref="B5">
    <cfRule type="cellIs" dxfId="38" priority="21" operator="greaterThan">
      <formula>0</formula>
    </cfRule>
  </conditionalFormatting>
  <conditionalFormatting sqref="B47">
    <cfRule type="cellIs" dxfId="37" priority="34" operator="greaterThan">
      <formula>0</formula>
    </cfRule>
  </conditionalFormatting>
  <conditionalFormatting sqref="B48">
    <cfRule type="cellIs" dxfId="36" priority="23" operator="greaterThan">
      <formula>0</formula>
    </cfRule>
    <cfRule type="cellIs" dxfId="35" priority="22" operator="lessThan">
      <formula>0</formula>
    </cfRule>
  </conditionalFormatting>
  <conditionalFormatting sqref="B94">
    <cfRule type="cellIs" dxfId="34" priority="1" operator="lessThan">
      <formula>0</formula>
    </cfRule>
    <cfRule type="cellIs" dxfId="33" priority="2" operator="greaterThan">
      <formula>0</formula>
    </cfRule>
  </conditionalFormatting>
  <conditionalFormatting sqref="B110">
    <cfRule type="cellIs" dxfId="32" priority="3" operator="lessThan">
      <formula>0</formula>
    </cfRule>
    <cfRule type="cellIs" dxfId="31" priority="4" operator="greaterThan">
      <formula>0</formula>
    </cfRule>
  </conditionalFormatting>
  <conditionalFormatting sqref="H12:H46">
    <cfRule type="cellIs" dxfId="30" priority="35" operator="lessThan">
      <formula>0</formula>
    </cfRule>
    <cfRule type="cellIs" dxfId="29" priority="30" stopIfTrue="1" operator="greaterThan">
      <formula>0</formula>
    </cfRule>
    <cfRule type="cellIs" dxfId="28" priority="29" operator="greaterThan">
      <formula>0</formula>
    </cfRule>
    <cfRule type="expression" dxfId="27" priority="28">
      <formula>(C12-D12)*E12&gt;0</formula>
    </cfRule>
    <cfRule type="expression" dxfId="26" priority="27">
      <formula>(C12-D12)*E12&lt;0</formula>
    </cfRule>
  </conditionalFormatting>
  <conditionalFormatting sqref="H102:H109">
    <cfRule type="expression" dxfId="25" priority="14">
      <formula>(C102-D102)*E102&lt;0</formula>
    </cfRule>
    <cfRule type="expression" dxfId="24" priority="15">
      <formula>(C102-D102)*E102&gt;0</formula>
    </cfRule>
    <cfRule type="cellIs" dxfId="23" priority="16" operator="greaterThan">
      <formula>0</formula>
    </cfRule>
    <cfRule type="cellIs" dxfId="22" priority="17" stopIfTrue="1" operator="greaterThan">
      <formula>0</formula>
    </cfRule>
    <cfRule type="cellIs" dxfId="21" priority="19" operator="lessThan">
      <formula>0</formula>
    </cfRule>
  </conditionalFormatting>
  <conditionalFormatting sqref="H109">
    <cfRule type="containsText" dxfId="20" priority="11" operator="containsText" text="–">
      <formula>NOT(ISERROR(SEARCH("–",H109)))</formula>
    </cfRule>
  </conditionalFormatting>
  <conditionalFormatting sqref="I12:I46">
    <cfRule type="expression" dxfId="19" priority="26">
      <formula>((C12-D12)/D12)&gt;0</formula>
    </cfRule>
    <cfRule type="expression" dxfId="18" priority="25">
      <formula>((C12-D12)/D12)&lt;0</formula>
    </cfRule>
  </conditionalFormatting>
  <conditionalFormatting sqref="I102:I109">
    <cfRule type="expression" dxfId="17" priority="13">
      <formula>((C102-D102)/D102)&gt;0</formula>
    </cfRule>
    <cfRule type="expression" dxfId="16" priority="12">
      <formula>((C102-D102)/D102)&lt;0</formula>
    </cfRule>
  </conditionalFormatting>
  <conditionalFormatting sqref="J109">
    <cfRule type="expression" dxfId="15" priority="6">
      <formula>(E109-F109)*G109&lt;0</formula>
    </cfRule>
    <cfRule type="expression" dxfId="14" priority="7">
      <formula>(E109-F109)*G109&gt;0</formula>
    </cfRule>
    <cfRule type="cellIs" dxfId="13" priority="9" stopIfTrue="1" operator="greaterThan">
      <formula>0</formula>
    </cfRule>
    <cfRule type="containsText" dxfId="12" priority="5" operator="containsText" text="–">
      <formula>NOT(ISERROR(SEARCH("–",J109)))</formula>
    </cfRule>
  </conditionalFormatting>
  <conditionalFormatting sqref="J12:K46">
    <cfRule type="cellIs" dxfId="11" priority="31" operator="greaterThan">
      <formula>0</formula>
    </cfRule>
    <cfRule type="cellIs" dxfId="10" priority="32" operator="lessThan">
      <formula>0</formula>
    </cfRule>
    <cfRule type="cellIs" dxfId="9" priority="33" operator="equal">
      <formula>0</formula>
    </cfRule>
  </conditionalFormatting>
  <conditionalFormatting sqref="J102:K108 K109">
    <cfRule type="cellIs" dxfId="8" priority="18" operator="equal">
      <formula>0</formula>
    </cfRule>
  </conditionalFormatting>
  <conditionalFormatting sqref="J102:K109">
    <cfRule type="cellIs" dxfId="7" priority="8" operator="greaterThan">
      <formula>0</formula>
    </cfRule>
    <cfRule type="cellIs" dxfId="6" priority="10" operator="lessThan">
      <formula>0</formula>
    </cfRule>
  </conditionalFormatting>
  <printOptions horizontalCentered="1" verticalCentered="1"/>
  <pageMargins left="0.25" right="0.25" top="0.75" bottom="0.75" header="0.3" footer="0.3"/>
  <pageSetup scale="34" orientation="portrait" horizontalDpi="0" verticalDpi="0"/>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5FF30-2AF7-9C41-9B8B-661705A85825}">
  <sheetPr>
    <pageSetUpPr fitToPage="1"/>
  </sheetPr>
  <dimension ref="A1:L95"/>
  <sheetViews>
    <sheetView topLeftCell="A32" zoomScale="108" zoomScaleNormal="100" workbookViewId="0">
      <selection activeCell="I51" sqref="I51"/>
    </sheetView>
  </sheetViews>
  <sheetFormatPr baseColWidth="10" defaultRowHeight="15" x14ac:dyDescent="0.2"/>
  <cols>
    <col min="1" max="1" width="22.33203125" style="1" customWidth="1"/>
    <col min="2" max="2" width="10.83203125" style="1" customWidth="1"/>
    <col min="3" max="3" width="36.1640625" style="1" customWidth="1"/>
    <col min="4" max="4" width="13.83203125" style="1" customWidth="1"/>
    <col min="5" max="5" width="10.33203125" style="1" customWidth="1"/>
    <col min="6" max="6" width="14.83203125" style="1" customWidth="1"/>
    <col min="7" max="16384" width="10.83203125" style="1"/>
  </cols>
  <sheetData>
    <row r="1" spans="1:12" ht="22" x14ac:dyDescent="0.3">
      <c r="A1" s="381" t="s">
        <v>286</v>
      </c>
      <c r="B1" s="382"/>
      <c r="C1" s="382"/>
      <c r="D1" s="382"/>
      <c r="E1" s="382"/>
      <c r="F1" s="382"/>
      <c r="G1" s="382"/>
      <c r="H1" s="382"/>
      <c r="I1" s="383"/>
      <c r="J1" s="18"/>
      <c r="K1" s="18"/>
      <c r="L1" s="18"/>
    </row>
    <row r="2" spans="1:12" ht="16" x14ac:dyDescent="0.2">
      <c r="A2" s="35"/>
      <c r="B2" s="36"/>
      <c r="C2" s="36"/>
      <c r="D2" s="36"/>
      <c r="E2" s="36"/>
      <c r="F2" s="36"/>
      <c r="G2" s="36"/>
      <c r="H2" s="36"/>
      <c r="I2" s="37"/>
      <c r="J2" s="14"/>
      <c r="K2" s="14"/>
      <c r="L2" s="14"/>
    </row>
    <row r="3" spans="1:12" x14ac:dyDescent="0.2">
      <c r="A3" s="46"/>
      <c r="B3" s="34"/>
      <c r="C3" s="34"/>
      <c r="D3" s="34"/>
      <c r="E3" s="34"/>
      <c r="F3" s="34"/>
      <c r="G3" s="34"/>
      <c r="H3" s="34"/>
      <c r="I3" s="43"/>
    </row>
    <row r="4" spans="1:12" x14ac:dyDescent="0.2">
      <c r="A4" s="280" t="s">
        <v>292</v>
      </c>
      <c r="B4" s="34"/>
      <c r="C4" s="34"/>
      <c r="D4" s="34"/>
      <c r="E4" s="34"/>
      <c r="F4" s="34"/>
      <c r="G4" s="34"/>
      <c r="H4" s="34"/>
      <c r="I4" s="43"/>
    </row>
    <row r="5" spans="1:12" x14ac:dyDescent="0.2">
      <c r="A5" s="74" t="s">
        <v>291</v>
      </c>
      <c r="B5" s="281" t="s">
        <v>296</v>
      </c>
      <c r="C5" s="34"/>
      <c r="D5" s="74" t="s">
        <v>289</v>
      </c>
      <c r="E5" s="282" t="s">
        <v>296</v>
      </c>
      <c r="F5" s="281" t="s">
        <v>314</v>
      </c>
      <c r="G5" s="34"/>
      <c r="H5" s="34"/>
      <c r="I5" s="43"/>
    </row>
    <row r="6" spans="1:12" x14ac:dyDescent="0.2">
      <c r="A6" s="283" t="s">
        <v>287</v>
      </c>
      <c r="B6" s="284">
        <v>0.1</v>
      </c>
      <c r="C6" s="34"/>
      <c r="D6" s="46" t="s">
        <v>293</v>
      </c>
      <c r="E6" s="285">
        <v>0.5</v>
      </c>
      <c r="F6" s="215">
        <f>E6*$B$8</f>
        <v>0.22500000000000001</v>
      </c>
      <c r="G6" s="34"/>
      <c r="H6" s="34"/>
      <c r="I6" s="43"/>
    </row>
    <row r="7" spans="1:12" x14ac:dyDescent="0.2">
      <c r="A7" s="286" t="s">
        <v>288</v>
      </c>
      <c r="B7" s="287">
        <v>0.3</v>
      </c>
      <c r="C7" s="34"/>
      <c r="D7" s="46" t="s">
        <v>294</v>
      </c>
      <c r="E7" s="215">
        <v>0.3</v>
      </c>
      <c r="F7" s="215">
        <f t="shared" ref="F7:F9" si="0">E7*$B$8</f>
        <v>0.13500000000000001</v>
      </c>
      <c r="G7" s="34"/>
      <c r="H7" s="34"/>
      <c r="I7" s="43"/>
    </row>
    <row r="8" spans="1:12" x14ac:dyDescent="0.2">
      <c r="A8" s="286" t="s">
        <v>289</v>
      </c>
      <c r="B8" s="287">
        <v>0.45</v>
      </c>
      <c r="C8" s="34"/>
      <c r="D8" s="46" t="s">
        <v>295</v>
      </c>
      <c r="E8" s="215">
        <v>0</v>
      </c>
      <c r="F8" s="215">
        <f t="shared" si="0"/>
        <v>0</v>
      </c>
      <c r="G8" s="34"/>
      <c r="H8" s="34"/>
      <c r="I8" s="43"/>
    </row>
    <row r="9" spans="1:12" x14ac:dyDescent="0.2">
      <c r="A9" s="286" t="s">
        <v>290</v>
      </c>
      <c r="B9" s="287">
        <v>0.15</v>
      </c>
      <c r="C9" s="34"/>
      <c r="D9" s="50" t="s">
        <v>300</v>
      </c>
      <c r="E9" s="288">
        <v>0.2</v>
      </c>
      <c r="F9" s="288">
        <f t="shared" si="0"/>
        <v>9.0000000000000011E-2</v>
      </c>
      <c r="G9" s="34"/>
      <c r="H9" s="34"/>
      <c r="I9" s="43"/>
    </row>
    <row r="10" spans="1:12" x14ac:dyDescent="0.2">
      <c r="A10" s="289" t="s">
        <v>188</v>
      </c>
      <c r="B10" s="290">
        <v>0</v>
      </c>
      <c r="C10" s="34"/>
      <c r="D10" s="34"/>
      <c r="E10" s="34"/>
      <c r="F10" s="34"/>
      <c r="G10" s="34"/>
      <c r="H10" s="34"/>
      <c r="I10" s="43"/>
    </row>
    <row r="11" spans="1:12" x14ac:dyDescent="0.2">
      <c r="A11" s="46"/>
      <c r="B11" s="34"/>
      <c r="C11" s="34"/>
      <c r="D11" s="34"/>
      <c r="E11" s="34"/>
      <c r="F11" s="34"/>
      <c r="G11" s="34"/>
      <c r="H11" s="34"/>
      <c r="I11" s="43"/>
    </row>
    <row r="12" spans="1:12" x14ac:dyDescent="0.2">
      <c r="A12" s="46"/>
      <c r="B12" s="34"/>
      <c r="C12" s="34"/>
      <c r="D12" s="34"/>
      <c r="E12" s="34"/>
      <c r="F12" s="34"/>
      <c r="G12" s="34"/>
      <c r="H12" s="34"/>
      <c r="I12" s="43"/>
    </row>
    <row r="13" spans="1:12" x14ac:dyDescent="0.2">
      <c r="A13" s="46"/>
      <c r="B13" s="34"/>
      <c r="C13" s="34"/>
      <c r="D13" s="34"/>
      <c r="E13" s="34"/>
      <c r="F13" s="34"/>
      <c r="G13" s="34"/>
      <c r="H13" s="34"/>
      <c r="I13" s="43"/>
    </row>
    <row r="14" spans="1:12" x14ac:dyDescent="0.2">
      <c r="A14" s="46"/>
      <c r="B14" s="34"/>
      <c r="C14" s="34"/>
      <c r="D14" s="34"/>
      <c r="E14" s="34"/>
      <c r="F14" s="34"/>
      <c r="G14" s="34"/>
      <c r="H14" s="34"/>
      <c r="I14" s="43"/>
    </row>
    <row r="15" spans="1:12" x14ac:dyDescent="0.2">
      <c r="A15" s="46"/>
      <c r="B15" s="34"/>
      <c r="C15" s="34"/>
      <c r="D15" s="34"/>
      <c r="E15" s="34"/>
      <c r="F15" s="34"/>
      <c r="G15" s="34"/>
      <c r="H15" s="34"/>
      <c r="I15" s="43"/>
    </row>
    <row r="16" spans="1:12" x14ac:dyDescent="0.2">
      <c r="A16" s="46"/>
      <c r="B16" s="34"/>
      <c r="C16" s="34"/>
      <c r="D16" s="34"/>
      <c r="E16" s="34"/>
      <c r="F16" s="34"/>
      <c r="G16" s="34"/>
      <c r="H16" s="34"/>
      <c r="I16" s="43"/>
    </row>
    <row r="17" spans="1:9" x14ac:dyDescent="0.2">
      <c r="A17" s="46"/>
      <c r="B17" s="34"/>
      <c r="C17" s="34"/>
      <c r="D17" s="34"/>
      <c r="E17" s="34"/>
      <c r="F17" s="34"/>
      <c r="G17" s="34"/>
      <c r="H17" s="34"/>
      <c r="I17" s="43"/>
    </row>
    <row r="18" spans="1:9" x14ac:dyDescent="0.2">
      <c r="A18" s="46"/>
      <c r="B18" s="34"/>
      <c r="C18" s="34"/>
      <c r="D18" s="34"/>
      <c r="E18" s="34"/>
      <c r="F18" s="34"/>
      <c r="G18" s="34"/>
      <c r="H18" s="34"/>
      <c r="I18" s="43"/>
    </row>
    <row r="19" spans="1:9" x14ac:dyDescent="0.2">
      <c r="A19" s="46"/>
      <c r="B19" s="34"/>
      <c r="C19" s="34"/>
      <c r="D19" s="34"/>
      <c r="E19" s="34"/>
      <c r="F19" s="34"/>
      <c r="G19" s="34"/>
      <c r="H19" s="34"/>
      <c r="I19" s="43"/>
    </row>
    <row r="20" spans="1:9" x14ac:dyDescent="0.2">
      <c r="A20" s="46"/>
      <c r="B20" s="34"/>
      <c r="C20" s="34"/>
      <c r="D20" s="34"/>
      <c r="E20" s="34"/>
      <c r="F20" s="34"/>
      <c r="G20" s="34"/>
      <c r="H20" s="34"/>
      <c r="I20" s="43"/>
    </row>
    <row r="21" spans="1:9" x14ac:dyDescent="0.2">
      <c r="A21" s="46"/>
      <c r="B21" s="34"/>
      <c r="C21" s="34"/>
      <c r="D21" s="34"/>
      <c r="E21" s="34"/>
      <c r="F21" s="34"/>
      <c r="G21" s="34"/>
      <c r="H21" s="34"/>
      <c r="I21" s="43"/>
    </row>
    <row r="22" spans="1:9" x14ac:dyDescent="0.2">
      <c r="A22" s="46"/>
      <c r="B22" s="34"/>
      <c r="C22" s="34"/>
      <c r="D22" s="34"/>
      <c r="E22" s="34"/>
      <c r="F22" s="34"/>
      <c r="G22" s="34"/>
      <c r="H22" s="34"/>
      <c r="I22" s="43"/>
    </row>
    <row r="23" spans="1:9" x14ac:dyDescent="0.2">
      <c r="A23" s="46"/>
      <c r="B23" s="34"/>
      <c r="C23" s="34"/>
      <c r="D23" s="34"/>
      <c r="E23" s="34"/>
      <c r="F23" s="34"/>
      <c r="G23" s="34"/>
      <c r="H23" s="34"/>
      <c r="I23" s="43"/>
    </row>
    <row r="24" spans="1:9" x14ac:dyDescent="0.2">
      <c r="A24" s="46"/>
      <c r="B24" s="34"/>
      <c r="C24" s="34"/>
      <c r="D24" s="34"/>
      <c r="E24" s="34"/>
      <c r="F24" s="34"/>
      <c r="G24" s="34"/>
      <c r="H24" s="34"/>
      <c r="I24" s="43"/>
    </row>
    <row r="25" spans="1:9" x14ac:dyDescent="0.2">
      <c r="A25" s="46"/>
      <c r="B25" s="34"/>
      <c r="C25" s="34"/>
      <c r="D25" s="34"/>
      <c r="E25" s="34"/>
      <c r="F25" s="34"/>
      <c r="G25" s="34"/>
      <c r="H25" s="34"/>
      <c r="I25" s="43"/>
    </row>
    <row r="26" spans="1:9" x14ac:dyDescent="0.2">
      <c r="A26" s="46"/>
      <c r="B26" s="34"/>
      <c r="C26" s="34"/>
      <c r="D26" s="34"/>
      <c r="E26" s="34"/>
      <c r="F26" s="34"/>
      <c r="G26" s="34"/>
      <c r="H26" s="34"/>
      <c r="I26" s="43"/>
    </row>
    <row r="27" spans="1:9" ht="16" x14ac:dyDescent="0.2">
      <c r="A27" s="59" t="s">
        <v>299</v>
      </c>
      <c r="B27" s="291">
        <v>100000</v>
      </c>
      <c r="C27" s="34"/>
      <c r="D27" s="34"/>
      <c r="E27" s="34"/>
      <c r="F27" s="34"/>
      <c r="G27" s="34"/>
      <c r="H27" s="34"/>
      <c r="I27" s="43"/>
    </row>
    <row r="28" spans="1:9" x14ac:dyDescent="0.2">
      <c r="A28" s="59" t="s">
        <v>291</v>
      </c>
      <c r="B28" s="59" t="s">
        <v>147</v>
      </c>
      <c r="C28" s="59" t="s">
        <v>17</v>
      </c>
      <c r="D28" s="60" t="s">
        <v>9</v>
      </c>
      <c r="E28" s="60" t="s">
        <v>296</v>
      </c>
      <c r="F28" s="59" t="s">
        <v>301</v>
      </c>
      <c r="G28" s="60" t="s">
        <v>18</v>
      </c>
      <c r="H28" s="292"/>
      <c r="I28" s="293"/>
    </row>
    <row r="29" spans="1:9" x14ac:dyDescent="0.2">
      <c r="A29" s="64" t="s">
        <v>331</v>
      </c>
      <c r="B29" s="64" t="s">
        <v>298</v>
      </c>
      <c r="C29" s="64" t="e" vm="41">
        <v>#VALUE!</v>
      </c>
      <c r="D29" s="294" cm="1">
        <f t="array" aca="1" ref="D29" ca="1">_FV(C29,"PRICE")</f>
        <v>56.11</v>
      </c>
      <c r="E29" s="295">
        <v>0.1</v>
      </c>
      <c r="F29" s="296">
        <f>$B$27*E29</f>
        <v>10000</v>
      </c>
      <c r="G29" s="297">
        <f ca="1">F29/D29</f>
        <v>178.22135091783997</v>
      </c>
      <c r="H29" s="34"/>
      <c r="I29" s="43"/>
    </row>
    <row r="30" spans="1:9" x14ac:dyDescent="0.2">
      <c r="A30" s="64" t="s">
        <v>288</v>
      </c>
      <c r="B30" s="64" t="s">
        <v>297</v>
      </c>
      <c r="C30" s="64" t="e" vm="42">
        <v>#VALUE!</v>
      </c>
      <c r="D30" s="294" cm="1">
        <f t="array" aca="1" ref="D30" ca="1">_FV(C30,"PRICE")</f>
        <v>339.87</v>
      </c>
      <c r="E30" s="295">
        <v>0.05</v>
      </c>
      <c r="F30" s="296">
        <f t="shared" ref="F30:F51" si="1">$B$27*E30</f>
        <v>5000</v>
      </c>
      <c r="G30" s="297">
        <f t="shared" ref="G30:G51" ca="1" si="2">F30/D30</f>
        <v>14.711507341042163</v>
      </c>
      <c r="H30" s="34"/>
      <c r="I30" s="43"/>
    </row>
    <row r="31" spans="1:9" x14ac:dyDescent="0.2">
      <c r="A31" s="64" t="s">
        <v>288</v>
      </c>
      <c r="B31" s="64" t="s">
        <v>154</v>
      </c>
      <c r="C31" s="64" t="e" vm="7">
        <v>#VALUE!</v>
      </c>
      <c r="D31" s="294" cm="1">
        <f t="array" aca="1" ref="D31" ca="1">_FV(C31,"PRICE")</f>
        <v>689.17</v>
      </c>
      <c r="E31" s="295">
        <v>0.1</v>
      </c>
      <c r="F31" s="296">
        <f t="shared" si="1"/>
        <v>10000</v>
      </c>
      <c r="G31" s="297">
        <f t="shared" ca="1" si="2"/>
        <v>14.510207931279655</v>
      </c>
      <c r="H31" s="34"/>
      <c r="I31" s="43"/>
    </row>
    <row r="32" spans="1:9" x14ac:dyDescent="0.2">
      <c r="A32" s="64" t="s">
        <v>288</v>
      </c>
      <c r="B32" s="64" t="s">
        <v>153</v>
      </c>
      <c r="C32" s="64" t="e" vm="6">
        <v>#VALUE!</v>
      </c>
      <c r="D32" s="294" cm="1">
        <f t="array" aca="1" ref="D32" ca="1">_FV(C32,"PRICE")</f>
        <v>625.58000000000004</v>
      </c>
      <c r="E32" s="295">
        <v>0.1</v>
      </c>
      <c r="F32" s="296">
        <f t="shared" si="1"/>
        <v>10000</v>
      </c>
      <c r="G32" s="297">
        <f t="shared" ca="1" si="2"/>
        <v>15.985165766168993</v>
      </c>
      <c r="H32" s="34"/>
      <c r="I32" s="43"/>
    </row>
    <row r="33" spans="1:9" x14ac:dyDescent="0.2">
      <c r="A33" s="64" t="s">
        <v>288</v>
      </c>
      <c r="B33" s="64" t="s">
        <v>152</v>
      </c>
      <c r="C33" s="64" t="e" vm="5">
        <v>#VALUE!</v>
      </c>
      <c r="D33" s="294" cm="1">
        <f t="array" aca="1" ref="D33" ca="1">_FV(C33,"PRICE")</f>
        <v>776.34</v>
      </c>
      <c r="E33" s="295">
        <v>7.0000000000000007E-2</v>
      </c>
      <c r="F33" s="296">
        <f t="shared" si="1"/>
        <v>7000.0000000000009</v>
      </c>
      <c r="G33" s="297">
        <f t="shared" ca="1" si="2"/>
        <v>9.0166679547620898</v>
      </c>
      <c r="H33" s="34"/>
      <c r="I33" s="43"/>
    </row>
    <row r="34" spans="1:9" x14ac:dyDescent="0.2">
      <c r="A34" s="64" t="s">
        <v>307</v>
      </c>
      <c r="B34" s="64" t="s">
        <v>149</v>
      </c>
      <c r="C34" s="64" t="e" vm="2">
        <v>#VALUE!</v>
      </c>
      <c r="D34" s="294" cm="1">
        <f t="array" aca="1" ref="D34" ca="1">_FV(C34,"PRICE")</f>
        <v>180.93</v>
      </c>
      <c r="E34" s="298">
        <v>7.0000000000000007E-2</v>
      </c>
      <c r="F34" s="296">
        <f t="shared" si="1"/>
        <v>7000.0000000000009</v>
      </c>
      <c r="G34" s="297">
        <f t="shared" ca="1" si="2"/>
        <v>38.688995744210473</v>
      </c>
      <c r="H34" s="34"/>
      <c r="I34" s="43"/>
    </row>
    <row r="35" spans="1:9" x14ac:dyDescent="0.2">
      <c r="A35" s="64" t="s">
        <v>307</v>
      </c>
      <c r="B35" s="64" t="s">
        <v>157</v>
      </c>
      <c r="C35" s="64" t="e" vm="10">
        <v>#VALUE!</v>
      </c>
      <c r="D35" s="294" cm="1">
        <f t="array" aca="1" ref="D35" ca="1">_FV(C35,"PRICE")</f>
        <v>652.71</v>
      </c>
      <c r="E35" s="298">
        <v>0.05</v>
      </c>
      <c r="F35" s="296">
        <f t="shared" si="1"/>
        <v>5000</v>
      </c>
      <c r="G35" s="297">
        <f t="shared" ca="1" si="2"/>
        <v>7.660369842656003</v>
      </c>
      <c r="H35" s="34"/>
      <c r="I35" s="43"/>
    </row>
    <row r="36" spans="1:9" x14ac:dyDescent="0.2">
      <c r="A36" s="64" t="s">
        <v>307</v>
      </c>
      <c r="B36" s="64" t="s">
        <v>150</v>
      </c>
      <c r="C36" s="64" t="e" vm="3">
        <v>#VALUE!</v>
      </c>
      <c r="D36" s="294" cm="1">
        <f t="array" aca="1" ref="D36" ca="1">_FV(C36,"PRICE")</f>
        <v>312.43</v>
      </c>
      <c r="E36" s="298">
        <v>0.03</v>
      </c>
      <c r="F36" s="296">
        <f t="shared" si="1"/>
        <v>3000</v>
      </c>
      <c r="G36" s="297">
        <f t="shared" ca="1" si="2"/>
        <v>9.6021508817975221</v>
      </c>
      <c r="H36" s="34"/>
      <c r="I36" s="43"/>
    </row>
    <row r="37" spans="1:9" x14ac:dyDescent="0.2">
      <c r="A37" s="64" t="s">
        <v>307</v>
      </c>
      <c r="B37" s="64" t="s">
        <v>302</v>
      </c>
      <c r="C37" s="64" t="e" vm="43">
        <v>#VALUE!</v>
      </c>
      <c r="D37" s="294" cm="1">
        <f t="array" aca="1" ref="D37" ca="1">_FV(C37,"PRICE")</f>
        <v>94.09</v>
      </c>
      <c r="E37" s="298">
        <v>0.02</v>
      </c>
      <c r="F37" s="296">
        <f t="shared" si="1"/>
        <v>2000</v>
      </c>
      <c r="G37" s="297">
        <f t="shared" ca="1" si="2"/>
        <v>21.256244021681368</v>
      </c>
      <c r="H37" s="34"/>
      <c r="I37" s="43"/>
    </row>
    <row r="38" spans="1:9" x14ac:dyDescent="0.2">
      <c r="A38" s="64" t="s">
        <v>307</v>
      </c>
      <c r="B38" s="64" t="s">
        <v>303</v>
      </c>
      <c r="C38" s="64" t="e" vm="44">
        <v>#VALUE!</v>
      </c>
      <c r="D38" s="294" cm="1">
        <f t="array" aca="1" ref="D38" ca="1">_FV(C38,"PRICE")</f>
        <v>446.89</v>
      </c>
      <c r="E38" s="298">
        <v>0.01</v>
      </c>
      <c r="F38" s="296">
        <f t="shared" si="1"/>
        <v>1000</v>
      </c>
      <c r="G38" s="297">
        <f t="shared" ca="1" si="2"/>
        <v>2.237687126585961</v>
      </c>
      <c r="H38" s="34"/>
      <c r="I38" s="43"/>
    </row>
    <row r="39" spans="1:9" x14ac:dyDescent="0.2">
      <c r="A39" s="64" t="s">
        <v>307</v>
      </c>
      <c r="B39" s="64" t="s">
        <v>148</v>
      </c>
      <c r="C39" s="64" t="e" vm="1">
        <v>#VALUE!</v>
      </c>
      <c r="D39" s="294" cm="1">
        <f t="array" aca="1" ref="D39" ca="1">_FV(C39,"PRICE")</f>
        <v>278.02999999999997</v>
      </c>
      <c r="E39" s="298">
        <v>0.02</v>
      </c>
      <c r="F39" s="296">
        <f t="shared" si="1"/>
        <v>2000</v>
      </c>
      <c r="G39" s="297">
        <f t="shared" ca="1" si="2"/>
        <v>7.1934683307556746</v>
      </c>
      <c r="H39" s="34"/>
      <c r="I39" s="43"/>
    </row>
    <row r="40" spans="1:9" x14ac:dyDescent="0.2">
      <c r="A40" s="64" t="s">
        <v>307</v>
      </c>
      <c r="B40" s="64" t="s">
        <v>156</v>
      </c>
      <c r="C40" s="64" t="e" vm="9">
        <v>#VALUE!</v>
      </c>
      <c r="D40" s="294" cm="1">
        <f t="array" aca="1" ref="D40" ca="1">_FV(C40,"PRICE")</f>
        <v>483.47</v>
      </c>
      <c r="E40" s="298">
        <v>0.03</v>
      </c>
      <c r="F40" s="296">
        <f t="shared" si="1"/>
        <v>3000</v>
      </c>
      <c r="G40" s="297">
        <f t="shared" ca="1" si="2"/>
        <v>6.2051419943326369</v>
      </c>
      <c r="H40" s="34"/>
      <c r="I40" s="43"/>
    </row>
    <row r="41" spans="1:9" x14ac:dyDescent="0.2">
      <c r="A41" s="64" t="s">
        <v>307</v>
      </c>
      <c r="B41" s="64" t="s">
        <v>155</v>
      </c>
      <c r="C41" s="64" t="e" vm="8">
        <v>#VALUE!</v>
      </c>
      <c r="D41" s="294" cm="1">
        <f t="array" aca="1" ref="D41" ca="1">_FV(C41,"PRICE")</f>
        <v>230.28</v>
      </c>
      <c r="E41" s="298">
        <v>0.02</v>
      </c>
      <c r="F41" s="296">
        <f t="shared" si="1"/>
        <v>2000</v>
      </c>
      <c r="G41" s="297">
        <f t="shared" ca="1" si="2"/>
        <v>8.6850790342192106</v>
      </c>
      <c r="H41" s="34"/>
      <c r="I41" s="43"/>
    </row>
    <row r="42" spans="1:9" x14ac:dyDescent="0.2">
      <c r="A42" s="64" t="s">
        <v>308</v>
      </c>
      <c r="B42" s="64" t="s">
        <v>305</v>
      </c>
      <c r="C42" s="64" t="e" vm="45">
        <v>#VALUE!</v>
      </c>
      <c r="D42" s="294" cm="1">
        <f t="array" aca="1" ref="D42" ca="1">_FV(C42,"PRICE")</f>
        <v>35.93</v>
      </c>
      <c r="E42" s="298">
        <v>0.02</v>
      </c>
      <c r="F42" s="296">
        <f t="shared" si="1"/>
        <v>2000</v>
      </c>
      <c r="G42" s="297">
        <f t="shared" ca="1" si="2"/>
        <v>55.663790704146955</v>
      </c>
      <c r="H42" s="34"/>
      <c r="I42" s="43"/>
    </row>
    <row r="43" spans="1:9" x14ac:dyDescent="0.2">
      <c r="A43" s="64" t="s">
        <v>308</v>
      </c>
      <c r="B43" s="64" t="s">
        <v>309</v>
      </c>
      <c r="C43" s="64" t="e" vm="46">
        <v>#VALUE!</v>
      </c>
      <c r="D43" s="294" cm="1">
        <f t="array" aca="1" ref="D43" ca="1">_FV(C43,"PRICE")</f>
        <v>26.27</v>
      </c>
      <c r="E43" s="298">
        <v>0.02</v>
      </c>
      <c r="F43" s="296">
        <f t="shared" si="1"/>
        <v>2000</v>
      </c>
      <c r="G43" s="297">
        <f t="shared" ca="1" si="2"/>
        <v>76.132470498667686</v>
      </c>
      <c r="H43" s="34"/>
      <c r="I43" s="43"/>
    </row>
    <row r="44" spans="1:9" x14ac:dyDescent="0.2">
      <c r="A44" s="64" t="s">
        <v>308</v>
      </c>
      <c r="B44" s="64" t="s">
        <v>310</v>
      </c>
      <c r="C44" s="64" t="e" vm="29">
        <v>#VALUE!</v>
      </c>
      <c r="D44" s="294" cm="1">
        <f t="array" aca="1" ref="D44" ca="1">_FV(C44,"PRICE")</f>
        <v>1024.92</v>
      </c>
      <c r="E44" s="298">
        <v>0.02</v>
      </c>
      <c r="F44" s="296">
        <f t="shared" si="1"/>
        <v>2000</v>
      </c>
      <c r="G44" s="297">
        <f t="shared" ca="1" si="2"/>
        <v>1.9513718143855128</v>
      </c>
      <c r="H44" s="34"/>
      <c r="I44" s="43"/>
    </row>
    <row r="45" spans="1:9" x14ac:dyDescent="0.2">
      <c r="A45" s="64" t="s">
        <v>308</v>
      </c>
      <c r="B45" s="64" t="s">
        <v>311</v>
      </c>
      <c r="C45" s="64" t="e" vm="32">
        <v>#VALUE!</v>
      </c>
      <c r="D45" s="294" cm="1">
        <f t="array" aca="1" ref="D45" ca="1">_FV(C45,"PRICE")</f>
        <v>157.91999999999999</v>
      </c>
      <c r="E45" s="298">
        <v>0.02</v>
      </c>
      <c r="F45" s="296">
        <f t="shared" si="1"/>
        <v>2000</v>
      </c>
      <c r="G45" s="297">
        <f t="shared" ca="1" si="2"/>
        <v>12.664640324214794</v>
      </c>
      <c r="H45" s="34"/>
      <c r="I45" s="43"/>
    </row>
    <row r="46" spans="1:9" x14ac:dyDescent="0.2">
      <c r="A46" s="64" t="s">
        <v>308</v>
      </c>
      <c r="B46" s="64" t="s">
        <v>312</v>
      </c>
      <c r="C46" s="64" t="e" vm="47">
        <v>#VALUE!</v>
      </c>
      <c r="D46" s="294" cm="1">
        <f t="array" aca="1" ref="D46" ca="1">_FV(C46,"PRICE")</f>
        <v>330.6</v>
      </c>
      <c r="E46" s="298">
        <v>0.02</v>
      </c>
      <c r="F46" s="296">
        <f t="shared" si="1"/>
        <v>2000</v>
      </c>
      <c r="G46" s="297">
        <f t="shared" ca="1" si="2"/>
        <v>6.0496067755595879</v>
      </c>
      <c r="H46" s="34"/>
      <c r="I46" s="43"/>
    </row>
    <row r="47" spans="1:9" x14ac:dyDescent="0.2">
      <c r="A47" s="64" t="s">
        <v>308</v>
      </c>
      <c r="B47" s="64" t="s">
        <v>313</v>
      </c>
      <c r="C47" s="64" t="e" vm="48">
        <v>#VALUE!</v>
      </c>
      <c r="D47" s="294" cm="1">
        <f t="array" aca="1" ref="D47" ca="1">_FV(C47,"PRICE")</f>
        <v>44.44</v>
      </c>
      <c r="E47" s="298">
        <v>0.02</v>
      </c>
      <c r="F47" s="296">
        <f t="shared" si="1"/>
        <v>2000</v>
      </c>
      <c r="G47" s="297">
        <f t="shared" ca="1" si="2"/>
        <v>45.004500450045008</v>
      </c>
      <c r="H47" s="34"/>
      <c r="I47" s="43"/>
    </row>
    <row r="48" spans="1:9" x14ac:dyDescent="0.2">
      <c r="A48" s="64" t="s">
        <v>315</v>
      </c>
      <c r="B48" s="64" t="s">
        <v>304</v>
      </c>
      <c r="C48" s="64" t="e" vm="49">
        <v>#VALUE!</v>
      </c>
      <c r="D48" s="294" cm="1">
        <f t="array" aca="1" ref="D48" ca="1">_FV(C48,"PRICE")</f>
        <v>69.11</v>
      </c>
      <c r="E48" s="298">
        <v>0.02</v>
      </c>
      <c r="F48" s="296">
        <f t="shared" si="1"/>
        <v>2000</v>
      </c>
      <c r="G48" s="297">
        <f ca="1">F48/D48</f>
        <v>28.93937201562726</v>
      </c>
      <c r="H48" s="34"/>
      <c r="I48" s="43"/>
    </row>
    <row r="49" spans="1:9" x14ac:dyDescent="0.2">
      <c r="A49" s="64" t="s">
        <v>315</v>
      </c>
      <c r="B49" s="64" t="s">
        <v>160</v>
      </c>
      <c r="C49" s="64" t="e" vm="14">
        <v>#VALUE!</v>
      </c>
      <c r="D49" s="294" cm="1">
        <f t="array" aca="1" ref="D49" ca="1">_FV(C49,"PRICE")</f>
        <v>40.22</v>
      </c>
      <c r="E49" s="298">
        <v>0.02</v>
      </c>
      <c r="F49" s="296">
        <f t="shared" si="1"/>
        <v>2000</v>
      </c>
      <c r="G49" s="297">
        <f t="shared" ca="1" si="2"/>
        <v>49.726504226752859</v>
      </c>
      <c r="H49" s="34"/>
      <c r="I49" s="43"/>
    </row>
    <row r="50" spans="1:9" x14ac:dyDescent="0.2">
      <c r="A50" s="64" t="s">
        <v>315</v>
      </c>
      <c r="B50" s="64" t="s">
        <v>187</v>
      </c>
      <c r="C50" s="64" t="e" vm="24">
        <v>#VALUE!</v>
      </c>
      <c r="D50" s="294" cm="1">
        <f t="array" aca="1" ref="D50" ca="1">_FV(C50,"PRICE")</f>
        <v>57.79</v>
      </c>
      <c r="E50" s="298">
        <v>0.02</v>
      </c>
      <c r="F50" s="296">
        <f t="shared" si="1"/>
        <v>2000</v>
      </c>
      <c r="G50" s="297">
        <f t="shared" ca="1" si="2"/>
        <v>34.608063678837169</v>
      </c>
      <c r="H50" s="34"/>
      <c r="I50" s="43"/>
    </row>
    <row r="51" spans="1:9" x14ac:dyDescent="0.2">
      <c r="A51" s="64" t="s">
        <v>316</v>
      </c>
      <c r="B51" s="64" t="s">
        <v>317</v>
      </c>
      <c r="C51" s="64" t="e" vm="50">
        <v>#VALUE!</v>
      </c>
      <c r="D51" s="294" cm="1">
        <f t="array" aca="1" ref="D51" ca="1">_FV(C51,"PRICE")</f>
        <v>110.27</v>
      </c>
      <c r="E51" s="298">
        <v>0.15</v>
      </c>
      <c r="F51" s="296">
        <f t="shared" si="1"/>
        <v>15000</v>
      </c>
      <c r="G51" s="297">
        <f t="shared" ca="1" si="2"/>
        <v>136.02974517094404</v>
      </c>
      <c r="H51" s="34"/>
      <c r="I51" s="43"/>
    </row>
    <row r="52" spans="1:9" x14ac:dyDescent="0.2">
      <c r="A52" s="64"/>
      <c r="B52" s="64"/>
      <c r="C52" s="64"/>
      <c r="D52" s="64"/>
      <c r="E52" s="298"/>
      <c r="F52" s="64"/>
      <c r="G52" s="64"/>
      <c r="H52" s="34"/>
      <c r="I52" s="43"/>
    </row>
    <row r="53" spans="1:9" x14ac:dyDescent="0.2">
      <c r="A53" s="64"/>
      <c r="B53" s="64"/>
      <c r="C53" s="34"/>
      <c r="D53" s="64"/>
      <c r="E53" s="298"/>
      <c r="F53" s="296"/>
      <c r="G53" s="64"/>
      <c r="H53" s="34"/>
      <c r="I53" s="43"/>
    </row>
    <row r="54" spans="1:9" x14ac:dyDescent="0.2">
      <c r="A54" s="64"/>
      <c r="B54" s="64"/>
      <c r="C54" s="64"/>
      <c r="D54" s="64"/>
      <c r="E54" s="64"/>
      <c r="F54" s="64"/>
      <c r="G54" s="64"/>
      <c r="H54" s="34"/>
      <c r="I54" s="43"/>
    </row>
    <row r="55" spans="1:9" x14ac:dyDescent="0.2">
      <c r="A55" s="46"/>
      <c r="B55" s="34"/>
      <c r="C55" s="34"/>
      <c r="D55" s="34"/>
      <c r="E55" s="34"/>
      <c r="F55" s="34"/>
      <c r="G55" s="34"/>
      <c r="H55" s="34"/>
      <c r="I55" s="43"/>
    </row>
    <row r="56" spans="1:9" x14ac:dyDescent="0.2">
      <c r="A56" s="46"/>
      <c r="B56" s="34"/>
      <c r="C56" s="34"/>
      <c r="D56" s="34"/>
      <c r="E56" s="34"/>
      <c r="F56" s="34"/>
      <c r="G56" s="34"/>
      <c r="H56" s="34"/>
      <c r="I56" s="43"/>
    </row>
    <row r="57" spans="1:9" x14ac:dyDescent="0.2">
      <c r="A57" s="46"/>
      <c r="B57" s="34"/>
      <c r="C57" s="34"/>
      <c r="D57" s="34"/>
      <c r="E57" s="34"/>
      <c r="F57" s="34"/>
      <c r="G57" s="34"/>
      <c r="H57" s="34"/>
      <c r="I57" s="43"/>
    </row>
    <row r="58" spans="1:9" x14ac:dyDescent="0.2">
      <c r="A58" s="46"/>
      <c r="B58" s="34"/>
      <c r="C58" s="34"/>
      <c r="D58" s="34"/>
      <c r="E58" s="34"/>
      <c r="F58" s="34"/>
      <c r="G58" s="34"/>
      <c r="H58" s="34"/>
      <c r="I58" s="43"/>
    </row>
    <row r="59" spans="1:9" x14ac:dyDescent="0.2">
      <c r="A59" s="46"/>
      <c r="B59" s="34"/>
      <c r="C59" s="34"/>
      <c r="D59" s="34"/>
      <c r="E59" s="34"/>
      <c r="F59" s="34"/>
      <c r="G59" s="34"/>
      <c r="H59" s="34"/>
      <c r="I59" s="43"/>
    </row>
    <row r="60" spans="1:9" x14ac:dyDescent="0.2">
      <c r="A60" s="46"/>
      <c r="B60" s="34"/>
      <c r="C60" s="34"/>
      <c r="D60" s="34"/>
      <c r="E60" s="34"/>
      <c r="F60" s="34"/>
      <c r="G60" s="34"/>
      <c r="H60" s="34"/>
      <c r="I60" s="43"/>
    </row>
    <row r="61" spans="1:9" x14ac:dyDescent="0.2">
      <c r="A61" s="46"/>
      <c r="B61" s="34"/>
      <c r="C61" s="34"/>
      <c r="D61" s="34"/>
      <c r="E61" s="34"/>
      <c r="F61" s="34"/>
      <c r="G61" s="34"/>
      <c r="H61" s="34"/>
      <c r="I61" s="43"/>
    </row>
    <row r="62" spans="1:9" x14ac:dyDescent="0.2">
      <c r="A62" s="46"/>
      <c r="B62" s="34"/>
      <c r="C62" s="34"/>
      <c r="D62" s="34"/>
      <c r="E62" s="34"/>
      <c r="F62" s="34"/>
      <c r="G62" s="34"/>
      <c r="H62" s="34"/>
      <c r="I62" s="43"/>
    </row>
    <row r="63" spans="1:9" x14ac:dyDescent="0.2">
      <c r="A63" s="46"/>
      <c r="B63" s="34"/>
      <c r="C63" s="34"/>
      <c r="D63" s="34"/>
      <c r="E63" s="34"/>
      <c r="F63" s="34"/>
      <c r="G63" s="34"/>
      <c r="H63" s="34"/>
      <c r="I63" s="43"/>
    </row>
    <row r="64" spans="1:9" x14ac:dyDescent="0.2">
      <c r="A64" s="46"/>
      <c r="B64" s="34"/>
      <c r="C64" s="34"/>
      <c r="D64" s="34"/>
      <c r="E64" s="34"/>
      <c r="F64" s="34"/>
      <c r="G64" s="34"/>
      <c r="H64" s="34"/>
      <c r="I64" s="43"/>
    </row>
    <row r="65" spans="1:9" x14ac:dyDescent="0.2">
      <c r="A65" s="46"/>
      <c r="B65" s="34"/>
      <c r="C65" s="34"/>
      <c r="D65" s="34"/>
      <c r="E65" s="34"/>
      <c r="F65" s="34"/>
      <c r="G65" s="34"/>
      <c r="H65" s="34"/>
      <c r="I65" s="43"/>
    </row>
    <row r="66" spans="1:9" x14ac:dyDescent="0.2">
      <c r="A66" s="46"/>
      <c r="B66" s="34"/>
      <c r="C66" s="34"/>
      <c r="D66" s="34"/>
      <c r="E66" s="34"/>
      <c r="F66" s="34"/>
      <c r="G66" s="34"/>
      <c r="H66" s="34"/>
      <c r="I66" s="43"/>
    </row>
    <row r="67" spans="1:9" x14ac:dyDescent="0.2">
      <c r="A67" s="46"/>
      <c r="B67" s="34"/>
      <c r="C67" s="34"/>
      <c r="D67" s="34"/>
      <c r="E67" s="34"/>
      <c r="F67" s="34"/>
      <c r="G67" s="34"/>
      <c r="H67" s="34"/>
      <c r="I67" s="43"/>
    </row>
    <row r="68" spans="1:9" x14ac:dyDescent="0.2">
      <c r="A68" s="46"/>
      <c r="B68" s="34"/>
      <c r="C68" s="34"/>
      <c r="D68" s="34"/>
      <c r="E68" s="34"/>
      <c r="F68" s="34"/>
      <c r="G68" s="34"/>
      <c r="H68" s="34"/>
      <c r="I68" s="43"/>
    </row>
    <row r="69" spans="1:9" x14ac:dyDescent="0.2">
      <c r="A69" s="46"/>
      <c r="B69" s="34"/>
      <c r="C69" s="34"/>
      <c r="D69" s="34"/>
      <c r="E69" s="34"/>
      <c r="F69" s="34"/>
      <c r="G69" s="34"/>
      <c r="H69" s="34"/>
      <c r="I69" s="43"/>
    </row>
    <row r="70" spans="1:9" x14ac:dyDescent="0.2">
      <c r="A70" s="46"/>
      <c r="B70" s="34"/>
      <c r="C70" s="34"/>
      <c r="D70" s="34"/>
      <c r="E70" s="34"/>
      <c r="F70" s="34"/>
      <c r="G70" s="34"/>
      <c r="H70" s="34"/>
      <c r="I70" s="43"/>
    </row>
    <row r="71" spans="1:9" x14ac:dyDescent="0.2">
      <c r="A71" s="46"/>
      <c r="B71" s="34"/>
      <c r="C71" s="34"/>
      <c r="D71" s="34"/>
      <c r="E71" s="34"/>
      <c r="F71" s="34"/>
      <c r="G71" s="34"/>
      <c r="H71" s="34"/>
      <c r="I71" s="43"/>
    </row>
    <row r="72" spans="1:9" x14ac:dyDescent="0.2">
      <c r="A72" s="46"/>
      <c r="B72" s="34"/>
      <c r="C72" s="34"/>
      <c r="D72" s="34"/>
      <c r="E72" s="34"/>
      <c r="F72" s="34"/>
      <c r="G72" s="34"/>
      <c r="H72" s="34"/>
      <c r="I72" s="43"/>
    </row>
    <row r="73" spans="1:9" x14ac:dyDescent="0.2">
      <c r="A73" s="46"/>
      <c r="B73" s="34"/>
      <c r="C73" s="34"/>
      <c r="D73" s="34"/>
      <c r="E73" s="34"/>
      <c r="F73" s="34"/>
      <c r="G73" s="34"/>
      <c r="H73" s="34"/>
      <c r="I73" s="43"/>
    </row>
    <row r="74" spans="1:9" x14ac:dyDescent="0.2">
      <c r="A74" s="46"/>
      <c r="B74" s="34"/>
      <c r="C74" s="34"/>
      <c r="D74" s="34"/>
      <c r="E74" s="34"/>
      <c r="F74" s="34"/>
      <c r="G74" s="34"/>
      <c r="H74" s="34"/>
      <c r="I74" s="43"/>
    </row>
    <row r="75" spans="1:9" x14ac:dyDescent="0.2">
      <c r="A75" s="46"/>
      <c r="B75" s="34"/>
      <c r="C75" s="34"/>
      <c r="D75" s="34"/>
      <c r="E75" s="34"/>
      <c r="F75" s="34"/>
      <c r="G75" s="34"/>
      <c r="H75" s="34"/>
      <c r="I75" s="43"/>
    </row>
    <row r="76" spans="1:9" x14ac:dyDescent="0.2">
      <c r="A76" s="46"/>
      <c r="B76" s="34"/>
      <c r="C76" s="34"/>
      <c r="D76" s="34"/>
      <c r="E76" s="34"/>
      <c r="F76" s="34"/>
      <c r="G76" s="34"/>
      <c r="H76" s="34"/>
      <c r="I76" s="43"/>
    </row>
    <row r="77" spans="1:9" x14ac:dyDescent="0.2">
      <c r="A77" s="46"/>
      <c r="B77" s="34"/>
      <c r="C77" s="34"/>
      <c r="D77" s="34"/>
      <c r="E77" s="34"/>
      <c r="F77" s="34"/>
      <c r="G77" s="34"/>
      <c r="H77" s="34"/>
      <c r="I77" s="43"/>
    </row>
    <row r="78" spans="1:9" x14ac:dyDescent="0.2">
      <c r="A78" s="46"/>
      <c r="B78" s="34"/>
      <c r="C78" s="34"/>
      <c r="D78" s="34"/>
      <c r="E78" s="34"/>
      <c r="F78" s="34"/>
      <c r="G78" s="34"/>
      <c r="H78" s="34"/>
      <c r="I78" s="43"/>
    </row>
    <row r="79" spans="1:9" x14ac:dyDescent="0.2">
      <c r="A79" s="46"/>
      <c r="B79" s="34"/>
      <c r="C79" s="34"/>
      <c r="D79" s="34"/>
      <c r="E79" s="34"/>
      <c r="F79" s="34"/>
      <c r="G79" s="34"/>
      <c r="H79" s="34"/>
      <c r="I79" s="43"/>
    </row>
    <row r="80" spans="1:9" x14ac:dyDescent="0.2">
      <c r="A80" s="46"/>
      <c r="B80" s="34"/>
      <c r="C80" s="34"/>
      <c r="D80" s="34"/>
      <c r="E80" s="34"/>
      <c r="F80" s="34"/>
      <c r="G80" s="34"/>
      <c r="H80" s="34"/>
      <c r="I80" s="43"/>
    </row>
    <row r="81" spans="1:9" x14ac:dyDescent="0.2">
      <c r="A81" s="46"/>
      <c r="B81" s="34"/>
      <c r="C81" s="34"/>
      <c r="D81" s="34"/>
      <c r="E81" s="34"/>
      <c r="F81" s="34"/>
      <c r="G81" s="34"/>
      <c r="H81" s="34"/>
      <c r="I81" s="43"/>
    </row>
    <row r="82" spans="1:9" x14ac:dyDescent="0.2">
      <c r="A82" s="46"/>
      <c r="B82" s="34"/>
      <c r="C82" s="34"/>
      <c r="D82" s="34"/>
      <c r="E82" s="34"/>
      <c r="F82" s="34"/>
      <c r="G82" s="34"/>
      <c r="H82" s="34"/>
      <c r="I82" s="43"/>
    </row>
    <row r="83" spans="1:9" x14ac:dyDescent="0.2">
      <c r="A83" s="46"/>
      <c r="B83" s="34"/>
      <c r="C83" s="34"/>
      <c r="D83" s="34"/>
      <c r="E83" s="34"/>
      <c r="F83" s="34"/>
      <c r="G83" s="34"/>
      <c r="H83" s="34"/>
      <c r="I83" s="43"/>
    </row>
    <row r="84" spans="1:9" x14ac:dyDescent="0.2">
      <c r="A84" s="46"/>
      <c r="B84" s="34"/>
      <c r="C84" s="34"/>
      <c r="D84" s="34"/>
      <c r="E84" s="34"/>
      <c r="F84" s="34"/>
      <c r="G84" s="34"/>
      <c r="H84" s="34"/>
      <c r="I84" s="43"/>
    </row>
    <row r="85" spans="1:9" x14ac:dyDescent="0.2">
      <c r="A85" s="46"/>
      <c r="B85" s="34"/>
      <c r="C85" s="34"/>
      <c r="D85" s="34"/>
      <c r="E85" s="34"/>
      <c r="F85" s="34"/>
      <c r="G85" s="34"/>
      <c r="H85" s="34"/>
      <c r="I85" s="43"/>
    </row>
    <row r="86" spans="1:9" x14ac:dyDescent="0.2">
      <c r="A86" s="46"/>
      <c r="B86" s="34"/>
      <c r="C86" s="34"/>
      <c r="D86" s="34"/>
      <c r="E86" s="34"/>
      <c r="F86" s="34"/>
      <c r="G86" s="34"/>
      <c r="H86" s="34"/>
      <c r="I86" s="43"/>
    </row>
    <row r="87" spans="1:9" x14ac:dyDescent="0.2">
      <c r="A87" s="46"/>
      <c r="B87" s="34"/>
      <c r="C87" s="34"/>
      <c r="D87" s="34"/>
      <c r="E87" s="34"/>
      <c r="F87" s="34"/>
      <c r="G87" s="34"/>
      <c r="H87" s="34"/>
      <c r="I87" s="43"/>
    </row>
    <row r="88" spans="1:9" x14ac:dyDescent="0.2">
      <c r="A88" s="46"/>
      <c r="B88" s="34"/>
      <c r="C88" s="34"/>
      <c r="D88" s="34"/>
      <c r="E88" s="34"/>
      <c r="F88" s="34"/>
      <c r="G88" s="34"/>
      <c r="H88" s="34"/>
      <c r="I88" s="43"/>
    </row>
    <row r="89" spans="1:9" x14ac:dyDescent="0.2">
      <c r="A89" s="46"/>
      <c r="B89" s="34"/>
      <c r="C89" s="34"/>
      <c r="D89" s="34"/>
      <c r="E89" s="34"/>
      <c r="F89" s="34"/>
      <c r="G89" s="34"/>
      <c r="H89" s="34"/>
      <c r="I89" s="43"/>
    </row>
    <row r="90" spans="1:9" x14ac:dyDescent="0.2">
      <c r="A90" s="46"/>
      <c r="B90" s="34"/>
      <c r="C90" s="34"/>
      <c r="D90" s="34"/>
      <c r="E90" s="34"/>
      <c r="F90" s="34"/>
      <c r="G90" s="34"/>
      <c r="H90" s="34"/>
      <c r="I90" s="43"/>
    </row>
    <row r="91" spans="1:9" x14ac:dyDescent="0.2">
      <c r="A91" s="46"/>
      <c r="B91" s="34"/>
      <c r="C91" s="34"/>
      <c r="D91" s="34"/>
      <c r="E91" s="34"/>
      <c r="F91" s="34"/>
      <c r="G91" s="34"/>
      <c r="H91" s="34"/>
      <c r="I91" s="43"/>
    </row>
    <row r="92" spans="1:9" x14ac:dyDescent="0.2">
      <c r="A92" s="46"/>
      <c r="B92" s="34"/>
      <c r="C92" s="34"/>
      <c r="D92" s="34"/>
      <c r="E92" s="34"/>
      <c r="F92" s="34"/>
      <c r="G92" s="34"/>
      <c r="H92" s="34"/>
      <c r="I92" s="43"/>
    </row>
    <row r="93" spans="1:9" x14ac:dyDescent="0.2">
      <c r="A93" s="46"/>
      <c r="B93" s="34"/>
      <c r="C93" s="34"/>
      <c r="D93" s="34"/>
      <c r="E93" s="34"/>
      <c r="F93" s="34"/>
      <c r="G93" s="34"/>
      <c r="H93" s="34"/>
      <c r="I93" s="43"/>
    </row>
    <row r="94" spans="1:9" x14ac:dyDescent="0.2">
      <c r="A94" s="46"/>
      <c r="B94" s="34"/>
      <c r="C94" s="34"/>
      <c r="D94" s="34"/>
      <c r="E94" s="34"/>
      <c r="F94" s="34"/>
      <c r="G94" s="34"/>
      <c r="H94" s="34"/>
      <c r="I94" s="43"/>
    </row>
    <row r="95" spans="1:9" x14ac:dyDescent="0.2">
      <c r="A95" s="50"/>
      <c r="B95" s="88"/>
      <c r="C95" s="88"/>
      <c r="D95" s="88"/>
      <c r="E95" s="88"/>
      <c r="F95" s="88"/>
      <c r="G95" s="88"/>
      <c r="H95" s="88"/>
      <c r="I95" s="89"/>
    </row>
  </sheetData>
  <sheetProtection algorithmName="SHA-512" hashValue="idQv7lA9eZGr4yspZSZeeseoy6DX3lt08K2/JnCfmxLdNHv9K443XESb73p5oy0Cw1mpVneUttvk51g8RmCbTw==" saltValue="iWKrKo3M5YxkD6C+LRLvsA==" spinCount="100000" sheet="1" objects="1" scenarios="1"/>
  <mergeCells count="1">
    <mergeCell ref="A1:I1"/>
  </mergeCells>
  <printOptions horizontalCentered="1" verticalCentered="1"/>
  <pageMargins left="0.25" right="0.25" top="0.75" bottom="0.75" header="0.3" footer="0.3"/>
  <pageSetup scale="51"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48"/>
  <sheetViews>
    <sheetView zoomScale="65" zoomScaleNormal="100" workbookViewId="0">
      <selection activeCell="R43" sqref="R43"/>
    </sheetView>
  </sheetViews>
  <sheetFormatPr baseColWidth="10" defaultColWidth="8.83203125" defaultRowHeight="15" x14ac:dyDescent="0.2"/>
  <cols>
    <col min="1" max="1" width="54" bestFit="1" customWidth="1"/>
    <col min="2" max="2" width="8.1640625" bestFit="1" customWidth="1"/>
    <col min="3" max="4" width="13.5" bestFit="1" customWidth="1"/>
    <col min="5" max="5" width="7" bestFit="1" customWidth="1"/>
    <col min="6" max="6" width="8.5" bestFit="1" customWidth="1"/>
    <col min="7" max="11" width="11.5" bestFit="1" customWidth="1"/>
    <col min="12" max="12" width="10.83203125" bestFit="1" customWidth="1"/>
    <col min="13" max="13" width="9.6640625" bestFit="1" customWidth="1"/>
    <col min="14" max="14" width="12" bestFit="1" customWidth="1"/>
    <col min="15" max="15" width="12.33203125" bestFit="1" customWidth="1"/>
    <col min="16" max="16" width="12" customWidth="1"/>
    <col min="17" max="17" width="10.83203125" bestFit="1" customWidth="1"/>
  </cols>
  <sheetData>
    <row r="1" spans="1:16" x14ac:dyDescent="0.2">
      <c r="A1" s="255" t="s">
        <v>0</v>
      </c>
      <c r="B1" s="255" t="s">
        <v>1</v>
      </c>
      <c r="C1" s="255" t="s">
        <v>2</v>
      </c>
      <c r="D1" s="255" t="s">
        <v>3</v>
      </c>
      <c r="E1" s="255" t="s">
        <v>4</v>
      </c>
      <c r="F1" s="255" t="s">
        <v>5</v>
      </c>
      <c r="G1" s="255" t="s">
        <v>6</v>
      </c>
      <c r="H1" s="255" t="s">
        <v>7</v>
      </c>
      <c r="I1" s="255" t="s">
        <v>8</v>
      </c>
      <c r="J1" s="255" t="s">
        <v>12</v>
      </c>
      <c r="K1" s="255" t="s">
        <v>9</v>
      </c>
      <c r="L1" s="255" t="s">
        <v>10</v>
      </c>
      <c r="M1" s="255" t="s">
        <v>11</v>
      </c>
      <c r="N1" s="255" t="s">
        <v>13</v>
      </c>
      <c r="O1" s="255" t="s">
        <v>14</v>
      </c>
      <c r="P1" s="255" t="s">
        <v>35</v>
      </c>
    </row>
    <row r="2" spans="1:16" x14ac:dyDescent="0.2">
      <c r="A2" s="255" t="e" vm="7">
        <v>#VALUE!</v>
      </c>
      <c r="B2" s="255" t="str" cm="1">
        <f t="array" aca="1" ref="B2" ca="1">_FV(A2,"Ticker symbol",TRUE)</f>
        <v>SPY</v>
      </c>
      <c r="C2" s="299" cm="1">
        <f t="array" aca="1" ref="C2" ca="1">_FV(A2,"Volume average",TRUE)</f>
        <v>79053665</v>
      </c>
      <c r="D2" s="299" cm="1">
        <f t="array" aca="1" ref="D2" ca="1">_FV(A2,"Volume")</f>
        <v>86173678</v>
      </c>
      <c r="E2" s="300" cm="1">
        <f t="array" aca="1" ref="E2" ca="1">_FV(A2,"Beta")</f>
        <v>0.99829999999999997</v>
      </c>
      <c r="F2" s="255"/>
      <c r="G2" s="301" cm="1">
        <f t="array" aca="1" ref="G2" ca="1">_FV(A2,"Open")</f>
        <v>685.14</v>
      </c>
      <c r="H2" s="301" cm="1">
        <f t="array" aca="1" ref="H2" ca="1">_FV(A2,"High")</f>
        <v>689.25</v>
      </c>
      <c r="I2" s="301" cm="1">
        <f t="array" aca="1" ref="I2" ca="1">_FV(A2,"Low")</f>
        <v>682.16499999999996</v>
      </c>
      <c r="J2" s="301" cm="1">
        <f t="array" aca="1" ref="J2" ca="1">_FV(A2,"Previous close",TRUE)</f>
        <v>687.57</v>
      </c>
      <c r="K2" s="301" cm="1">
        <f t="array" aca="1" ref="K2" ca="1">_FV(A2,"Price")</f>
        <v>689.17</v>
      </c>
      <c r="L2" s="302" cm="1">
        <f t="array" aca="1" ref="L2" ca="1">_FV(A2,"Change (%)",TRUE)</f>
        <v>2.3270000000000001E-3</v>
      </c>
      <c r="M2" s="301" cm="1">
        <f t="array" aca="1" ref="M2" ca="1">_FV(A2,"Change")</f>
        <v>1.6</v>
      </c>
      <c r="N2" s="301" cm="1">
        <f t="array" aca="1" ref="N2" ca="1">_FV(A2,"52 week high",TRUE)</f>
        <v>689.7</v>
      </c>
      <c r="O2" s="301" cm="1">
        <f t="array" aca="1" ref="O2" ca="1">_FV(A2,"52 week low",TRUE)</f>
        <v>481.8</v>
      </c>
      <c r="P2" s="303" cm="1">
        <f t="array" aca="1" ref="P2" ca="1">_FV(A2,"Market cap",TRUE)</f>
        <v>700621538993.57996</v>
      </c>
    </row>
    <row r="3" spans="1:16" x14ac:dyDescent="0.2">
      <c r="A3" s="255" t="e" vm="6">
        <v>#VALUE!</v>
      </c>
      <c r="B3" s="255" t="str" cm="1">
        <f t="array" aca="1" ref="B3" ca="1">_FV(A3,"Ticker symbol",TRUE)</f>
        <v>QQQ</v>
      </c>
      <c r="C3" s="299" cm="1">
        <f t="array" aca="1" ref="C3" ca="1">_FV(A3,"Volume average",TRUE)</f>
        <v>60259973</v>
      </c>
      <c r="D3" s="299" cm="1">
        <f t="array" aca="1" ref="D3" ca="1">_FV(A3,"Volume")</f>
        <v>58272844</v>
      </c>
      <c r="E3" s="300" cm="1">
        <f t="array" aca="1" ref="E3" ca="1">_FV(A3,"Beta")</f>
        <v>1.0303</v>
      </c>
      <c r="F3" s="255"/>
      <c r="G3" s="301" cm="1">
        <f t="array" aca="1" ref="G3" ca="1">_FV(A3,"Open")</f>
        <v>623.82000000000005</v>
      </c>
      <c r="H3" s="301" cm="1">
        <f t="array" aca="1" ref="H3" ca="1">_FV(A3,"High")</f>
        <v>625.78</v>
      </c>
      <c r="I3" s="301" cm="1">
        <f t="array" aca="1" ref="I3" ca="1">_FV(A3,"Low")</f>
        <v>617.72</v>
      </c>
      <c r="J3" s="301" cm="1">
        <f t="array" aca="1" ref="J3" ca="1">_FV(A3,"Previous close",TRUE)</f>
        <v>627.61</v>
      </c>
      <c r="K3" s="301" cm="1">
        <f t="array" aca="1" ref="K3" ca="1">_FV(A3,"Price")</f>
        <v>625.58000000000004</v>
      </c>
      <c r="L3" s="302" cm="1">
        <f t="array" aca="1" ref="L3" ca="1">_FV(A3,"Change (%)",TRUE)</f>
        <v>-3.2340000000000003E-3</v>
      </c>
      <c r="M3" s="301" cm="1">
        <f t="array" aca="1" ref="M3" ca="1">_FV(A3,"Change")</f>
        <v>-2.0299999999999998</v>
      </c>
      <c r="N3" s="301" cm="1">
        <f t="array" aca="1" ref="N3" ca="1">_FV(A3,"52 week high",TRUE)</f>
        <v>637.01</v>
      </c>
      <c r="O3" s="301" cm="1">
        <f t="array" aca="1" ref="O3" ca="1">_FV(A3,"52 week low",TRUE)</f>
        <v>402.39</v>
      </c>
      <c r="P3" s="303" cm="1">
        <f t="array" aca="1" ref="P3" ca="1">_FV(A3,"Market cap",TRUE)</f>
        <v>403022848719.20001</v>
      </c>
    </row>
    <row r="4" spans="1:16" x14ac:dyDescent="0.2">
      <c r="A4" s="255" t="e" vm="5">
        <v>#VALUE!</v>
      </c>
      <c r="B4" s="255" t="str" cm="1">
        <f t="array" aca="1" ref="B4" ca="1">_FV(A4,"Ticker symbol",TRUE)</f>
        <v>VGT</v>
      </c>
      <c r="C4" s="299" cm="1">
        <f t="array" aca="1" ref="C4" ca="1">_FV(A4,"Volume average",TRUE)</f>
        <v>566525</v>
      </c>
      <c r="D4" s="299" cm="1">
        <f t="array" aca="1" ref="D4" ca="1">_FV(A4,"Volume")</f>
        <v>545763</v>
      </c>
      <c r="E4" s="300" cm="1">
        <f t="array" aca="1" ref="E4" ca="1">_FV(A4,"Beta")</f>
        <v>0.99080000000000001</v>
      </c>
      <c r="F4" s="255"/>
      <c r="G4" s="301" cm="1">
        <f t="array" aca="1" ref="G4" ca="1">_FV(A4,"Open")</f>
        <v>771.65</v>
      </c>
      <c r="H4" s="301" cm="1">
        <f t="array" aca="1" ref="H4" ca="1">_FV(A4,"High")</f>
        <v>776.79250000000002</v>
      </c>
      <c r="I4" s="301" cm="1">
        <f t="array" aca="1" ref="I4" ca="1">_FV(A4,"Low")</f>
        <v>761.64009999999996</v>
      </c>
      <c r="J4" s="301" cm="1">
        <f t="array" aca="1" ref="J4" ca="1">_FV(A4,"Previous close",TRUE)</f>
        <v>779.16</v>
      </c>
      <c r="K4" s="301" cm="1">
        <f t="array" aca="1" ref="K4" ca="1">_FV(A4,"Price")</f>
        <v>776.34</v>
      </c>
      <c r="L4" s="302" cm="1">
        <f t="array" aca="1" ref="L4" ca="1">_FV(A4,"Change (%)",TRUE)</f>
        <v>-3.6189999999999998E-3</v>
      </c>
      <c r="M4" s="301" cm="1">
        <f t="array" aca="1" ref="M4" ca="1">_FV(A4,"Change")</f>
        <v>-2.82</v>
      </c>
      <c r="N4" s="301" cm="1">
        <f t="array" aca="1" ref="N4" ca="1">_FV(A4,"52 week high",TRUE)</f>
        <v>806.99</v>
      </c>
      <c r="O4" s="301" cm="1">
        <f t="array" aca="1" ref="O4" ca="1">_FV(A4,"52 week low",TRUE)</f>
        <v>451</v>
      </c>
      <c r="P4" s="303" cm="1">
        <f t="array" aca="1" ref="P4" ca="1">_FV(A4,"Market cap",TRUE)</f>
        <v>112034972943</v>
      </c>
    </row>
    <row r="5" spans="1:16" x14ac:dyDescent="0.2">
      <c r="A5" s="255" t="e" vm="20">
        <v>#VALUE!</v>
      </c>
      <c r="B5" s="255" t="s">
        <v>166</v>
      </c>
      <c r="C5" s="299" cm="1">
        <f t="array" aca="1" ref="C5" ca="1">_FV(A5,"Volume average",TRUE)</f>
        <v>2892196</v>
      </c>
      <c r="D5" s="299" cm="1">
        <f t="array" aca="1" ref="D5" ca="1">_FV(A5,"Volume")</f>
        <v>5554598</v>
      </c>
      <c r="E5" s="300" cm="1">
        <f t="array" aca="1" ref="E5" ca="1">_FV(A5,"Beta")</f>
        <v>1.0256000000000001</v>
      </c>
      <c r="F5" s="255"/>
      <c r="G5" s="301" cm="1">
        <f t="array" aca="1" ref="G5" ca="1">_FV(A5,"Open")</f>
        <v>92.21</v>
      </c>
      <c r="H5" s="301" cm="1">
        <f t="array" aca="1" ref="H5" ca="1">_FV(A5,"High")</f>
        <v>94.38</v>
      </c>
      <c r="I5" s="301" cm="1">
        <f t="array" aca="1" ref="I5" ca="1">_FV(A5,"Low")</f>
        <v>91.92</v>
      </c>
      <c r="J5" s="301" cm="1">
        <f t="array" aca="1" ref="J5" ca="1">_FV(A5,"Previous close",TRUE)</f>
        <v>91.92</v>
      </c>
      <c r="K5" s="301" cm="1">
        <f t="array" aca="1" ref="K5" ca="1">_FV(A5,"Price")</f>
        <v>93.85</v>
      </c>
      <c r="L5" s="302" cm="1">
        <f t="array" aca="1" ref="L5" ca="1">_FV(A5,"Change (%)",TRUE)</f>
        <v>2.0996999999999998E-2</v>
      </c>
      <c r="M5" s="301" cm="1">
        <f t="array" aca="1" ref="M5" ca="1">_FV(A5,"Change")</f>
        <v>1.93</v>
      </c>
      <c r="N5" s="301" cm="1">
        <f t="array" aca="1" ref="N5" ca="1">_FV(A5,"52 week high",TRUE)</f>
        <v>97.63</v>
      </c>
      <c r="O5" s="301" cm="1">
        <f t="array" aca="1" ref="O5" ca="1">_FV(A5,"52 week low",TRUE)</f>
        <v>64.84</v>
      </c>
      <c r="P5" s="303" cm="1">
        <f t="array" aca="1" ref="P5" ca="1">_FV(A5,"Market cap",TRUE)</f>
        <v>53587918290</v>
      </c>
    </row>
    <row r="6" spans="1:16" x14ac:dyDescent="0.2">
      <c r="A6" s="255" t="e" vm="51">
        <v>#VALUE!</v>
      </c>
      <c r="B6" s="255" t="str" cm="1">
        <f t="array" aca="1" ref="B6" ca="1">_FV(A6,"Ticker symbol",TRUE)</f>
        <v>VIX</v>
      </c>
      <c r="C6" s="304" t="s">
        <v>15</v>
      </c>
      <c r="D6" s="304" t="s">
        <v>15</v>
      </c>
      <c r="E6" s="305" t="s">
        <v>15</v>
      </c>
      <c r="F6" s="255"/>
      <c r="G6" s="301" cm="1">
        <f t="array" aca="1" ref="G6" ca="1">_FV(A6,"Open")</f>
        <v>16.84</v>
      </c>
      <c r="H6" s="301" cm="1">
        <f t="array" aca="1" ref="H6" ca="1">_FV(A6,"High")</f>
        <v>16.88</v>
      </c>
      <c r="I6" s="301" cm="1">
        <f t="array" aca="1" ref="I6" ca="1">_FV(A6,"Low")</f>
        <v>14.85</v>
      </c>
      <c r="J6" s="301" cm="1">
        <f t="array" aca="1" ref="J6" ca="1">_FV(A6,"Previous close",TRUE)</f>
        <v>15.77</v>
      </c>
      <c r="K6" s="301" cm="1">
        <f t="array" aca="1" ref="K6" ca="1">_FV(A6,"Price")</f>
        <v>14.85</v>
      </c>
      <c r="L6" s="302" cm="1">
        <f t="array" aca="1" ref="L6" ca="1">_FV(A6,"Change (%)",TRUE)</f>
        <v>-5.8339000000000002E-2</v>
      </c>
      <c r="M6" s="301" cm="1">
        <f t="array" aca="1" ref="M6" ca="1">_FV(A6,"Change")</f>
        <v>-0.92</v>
      </c>
      <c r="N6" s="301" cm="1">
        <f t="array" aca="1" ref="N6" ca="1">_FV(A6,"52 week high",TRUE)</f>
        <v>60.13</v>
      </c>
      <c r="O6" s="301" cm="1">
        <f t="array" aca="1" ref="O6" ca="1">_FV(A6,"52 week low",TRUE)</f>
        <v>13.24</v>
      </c>
      <c r="P6" s="305" t="s">
        <v>15</v>
      </c>
    </row>
    <row r="7" spans="1:16" x14ac:dyDescent="0.2">
      <c r="A7" s="255" t="e" vm="42">
        <v>#VALUE!</v>
      </c>
      <c r="B7" s="255" t="str" cm="1">
        <f t="array" aca="1" ref="B7" ca="1">_FV(A7,"Ticker symbol",TRUE)</f>
        <v>VTI</v>
      </c>
      <c r="C7" s="299" cm="1">
        <f t="array" aca="1" ref="C7" ca="1">_FV(A7,"Volume average",TRUE)</f>
        <v>3717243</v>
      </c>
      <c r="D7" s="299" cm="1">
        <f t="array" aca="1" ref="D7" ca="1">_FV(A7,"Volume")</f>
        <v>3818952</v>
      </c>
      <c r="E7" s="300" cm="1">
        <f t="array" aca="1" ref="E7" ca="1">_FV(A7,"Beta")</f>
        <v>1.0014000000000001</v>
      </c>
      <c r="F7" s="255"/>
      <c r="G7" s="301" cm="1">
        <f t="array" aca="1" ref="G7" ca="1">_FV(A7,"Open")</f>
        <v>337.88</v>
      </c>
      <c r="H7" s="301" cm="1">
        <f t="array" aca="1" ref="H7" ca="1">_FV(A7,"High")</f>
        <v>339.94</v>
      </c>
      <c r="I7" s="301" cm="1">
        <f t="array" aca="1" ref="I7" ca="1">_FV(A7,"Low")</f>
        <v>336.44349999999997</v>
      </c>
      <c r="J7" s="301" cm="1">
        <f t="array" aca="1" ref="J7" ca="1">_FV(A7,"Previous close",TRUE)</f>
        <v>338.73</v>
      </c>
      <c r="K7" s="301" cm="1">
        <f t="array" aca="1" ref="K7" ca="1">_FV(A7,"Price")</f>
        <v>339.87</v>
      </c>
      <c r="L7" s="302" cm="1">
        <f t="array" aca="1" ref="L7" ca="1">_FV(A7,"Change (%)",TRUE)</f>
        <v>3.3660000000000001E-3</v>
      </c>
      <c r="M7" s="301" cm="1">
        <f t="array" aca="1" ref="M7" ca="1">_FV(A7,"Change")</f>
        <v>1.1399999999999999</v>
      </c>
      <c r="N7" s="301" cm="1">
        <f t="array" aca="1" ref="N7" ca="1">_FV(A7,"52 week high",TRUE)</f>
        <v>339.94</v>
      </c>
      <c r="O7" s="301" cm="1">
        <f t="array" aca="1" ref="O7" ca="1">_FV(A7,"52 week low",TRUE)</f>
        <v>236.42</v>
      </c>
      <c r="P7" s="303" cm="1">
        <f t="array" aca="1" ref="P7" ca="1">_FV(A7,"Market cap",TRUE)</f>
        <v>567351527281</v>
      </c>
    </row>
    <row r="8" spans="1:16" x14ac:dyDescent="0.2">
      <c r="A8" s="255" t="e" vm="1">
        <v>#VALUE!</v>
      </c>
      <c r="B8" s="255" t="str" cm="1">
        <f t="array" aca="1" ref="B8" ca="1">_FV(A8,"Ticker symbol",TRUE)</f>
        <v>AAPL</v>
      </c>
      <c r="C8" s="299" cm="1">
        <f t="array" aca="1" ref="C8" ca="1">_FV(A8,"Volume average",TRUE)</f>
        <v>44664122</v>
      </c>
      <c r="D8" s="299" cm="1">
        <f t="array" aca="1" ref="D8" ca="1">_FV(A8,"Volume")</f>
        <v>33247986</v>
      </c>
      <c r="E8" s="300" cm="1">
        <f t="array" aca="1" ref="E8" ca="1">_FV(A8,"Beta")</f>
        <v>1.0908</v>
      </c>
      <c r="F8" s="255"/>
      <c r="G8" s="301" cm="1">
        <f t="array" aca="1" ref="G8" ca="1">_FV(A8,"Open")</f>
        <v>279.09500000000003</v>
      </c>
      <c r="H8" s="301" cm="1">
        <f t="array" aca="1" ref="H8" ca="1">_FV(A8,"High")</f>
        <v>279.58999999999997</v>
      </c>
      <c r="I8" s="301" cm="1">
        <f t="array" aca="1" ref="I8" ca="1">_FV(A8,"Low")</f>
        <v>273.81</v>
      </c>
      <c r="J8" s="301" cm="1">
        <f t="array" aca="1" ref="J8" ca="1">_FV(A8,"Previous close",TRUE)</f>
        <v>278.77999999999997</v>
      </c>
      <c r="K8" s="301" cm="1">
        <f t="array" aca="1" ref="K8" ca="1">_FV(A8,"Price")</f>
        <v>278.02999999999997</v>
      </c>
      <c r="L8" s="302" cm="1">
        <f t="array" aca="1" ref="L8" ca="1">_FV(A8,"Change (%)",TRUE)</f>
        <v>-2.6900000000000001E-3</v>
      </c>
      <c r="M8" s="301" cm="1">
        <f t="array" aca="1" ref="M8" ca="1">_FV(A8,"Change")</f>
        <v>-0.75</v>
      </c>
      <c r="N8" s="301" cm="1">
        <f t="array" aca="1" ref="N8" ca="1">_FV(A8,"52 week high",TRUE)</f>
        <v>288.62</v>
      </c>
      <c r="O8" s="301" cm="1">
        <f t="array" aca="1" ref="O8" ca="1">_FV(A8,"52 week low",TRUE)</f>
        <v>169.21010000000001</v>
      </c>
      <c r="P8" s="303" cm="1">
        <f t="array" aca="1" ref="P8" ca="1">_FV(A8,"Market cap",TRUE)</f>
        <v>4108268590499</v>
      </c>
    </row>
    <row r="9" spans="1:16" x14ac:dyDescent="0.2">
      <c r="A9" s="255" t="e" vm="2">
        <v>#VALUE!</v>
      </c>
      <c r="B9" s="255" t="str" cm="1">
        <f t="array" aca="1" ref="B9" ca="1">_FV(A9,"Ticker symbol",TRUE)</f>
        <v>NVDA</v>
      </c>
      <c r="C9" s="299" cm="1">
        <f t="array" aca="1" ref="C9" ca="1">_FV(A9,"Volume average",TRUE)</f>
        <v>206003277</v>
      </c>
      <c r="D9" s="299" cm="1">
        <f t="array" aca="1" ref="D9" ca="1">_FV(A9,"Volume")</f>
        <v>182136641</v>
      </c>
      <c r="E9" s="300" cm="1">
        <f t="array" aca="1" ref="E9" ca="1">_FV(A9,"Beta")</f>
        <v>2.3153000000000001</v>
      </c>
      <c r="F9" s="255"/>
      <c r="G9" s="301" cm="1">
        <f t="array" aca="1" ref="G9" ca="1">_FV(A9,"Open")</f>
        <v>180.27500000000001</v>
      </c>
      <c r="H9" s="301" cm="1">
        <f t="array" aca="1" ref="H9" ca="1">_FV(A9,"High")</f>
        <v>181.32</v>
      </c>
      <c r="I9" s="301" cm="1">
        <f t="array" aca="1" ref="I9" ca="1">_FV(A9,"Low")</f>
        <v>176.62</v>
      </c>
      <c r="J9" s="301" cm="1">
        <f t="array" aca="1" ref="J9" ca="1">_FV(A9,"Previous close",TRUE)</f>
        <v>183.78</v>
      </c>
      <c r="K9" s="301" cm="1">
        <f t="array" aca="1" ref="K9" ca="1">_FV(A9,"Price")</f>
        <v>180.93</v>
      </c>
      <c r="L9" s="302" cm="1">
        <f t="array" aca="1" ref="L9" ca="1">_FV(A9,"Change (%)",TRUE)</f>
        <v>-1.5507999999999999E-2</v>
      </c>
      <c r="M9" s="301" cm="1">
        <f t="array" aca="1" ref="M9" ca="1">_FV(A9,"Change")</f>
        <v>-2.85</v>
      </c>
      <c r="N9" s="301" cm="1">
        <f t="array" aca="1" ref="N9" ca="1">_FV(A9,"52 week high",TRUE)</f>
        <v>212.18989999999999</v>
      </c>
      <c r="O9" s="301" cm="1">
        <f t="array" aca="1" ref="O9" ca="1">_FV(A9,"52 week low",TRUE)</f>
        <v>86.62</v>
      </c>
      <c r="P9" s="303" cm="1">
        <f t="array" aca="1" ref="P9" ca="1">_FV(A9,"Market cap",TRUE)</f>
        <v>4396599000000</v>
      </c>
    </row>
    <row r="10" spans="1:16" x14ac:dyDescent="0.2">
      <c r="A10" s="255" t="e" vm="9">
        <v>#VALUE!</v>
      </c>
      <c r="B10" s="255" t="str" cm="1">
        <f t="array" aca="1" ref="B10" ca="1">_FV(A10,"Ticker symbol",TRUE)</f>
        <v>MSFT</v>
      </c>
      <c r="C10" s="299" cm="1">
        <f t="array" aca="1" ref="C10" ca="1">_FV(A10,"Volume average",TRUE)</f>
        <v>25265373</v>
      </c>
      <c r="D10" s="299" cm="1">
        <f t="array" aca="1" ref="D10" ca="1">_FV(A10,"Volume")</f>
        <v>24669180</v>
      </c>
      <c r="E10" s="300" cm="1">
        <f t="array" aca="1" ref="E10" ca="1">_FV(A10,"Beta")</f>
        <v>1.073</v>
      </c>
      <c r="F10" s="255"/>
      <c r="G10" s="306" cm="1">
        <f t="array" aca="1" ref="G10" ca="1">_FV(A10,"Open")</f>
        <v>476.63</v>
      </c>
      <c r="H10" s="301" cm="1">
        <f t="array" aca="1" ref="H10" ca="1">_FV(A10,"High")</f>
        <v>486.03</v>
      </c>
      <c r="I10" s="301" cm="1">
        <f t="array" aca="1" ref="I10" ca="1">_FV(A10,"Low")</f>
        <v>475.86</v>
      </c>
      <c r="J10" s="301" cm="1">
        <f t="array" aca="1" ref="J10" ca="1">_FV(A10,"Previous close",TRUE)</f>
        <v>478.56</v>
      </c>
      <c r="K10" s="301" cm="1">
        <f t="array" aca="1" ref="K10" ca="1">_FV(A10,"Price")</f>
        <v>483.47</v>
      </c>
      <c r="L10" s="302" cm="1">
        <f t="array" aca="1" ref="L10" ca="1">_FV(A10,"Change (%)",TRUE)</f>
        <v>1.026E-2</v>
      </c>
      <c r="M10" s="301" cm="1">
        <f t="array" aca="1" ref="M10" ca="1">_FV(A10,"Change")</f>
        <v>4.91</v>
      </c>
      <c r="N10" s="301" cm="1">
        <f t="array" aca="1" ref="N10" ca="1">_FV(A10,"52 week high",TRUE)</f>
        <v>555.45000000000005</v>
      </c>
      <c r="O10" s="301" cm="1">
        <f t="array" aca="1" ref="O10" ca="1">_FV(A10,"52 week low",TRUE)</f>
        <v>344.79</v>
      </c>
      <c r="P10" s="303" cm="1">
        <f t="array" aca="1" ref="P10" ca="1">_FV(A10,"Market cap",TRUE)</f>
        <v>3593331308190</v>
      </c>
    </row>
    <row r="11" spans="1:16" x14ac:dyDescent="0.2">
      <c r="A11" s="255" t="e" vm="43">
        <v>#VALUE!</v>
      </c>
      <c r="B11" s="255" t="str" cm="1">
        <f t="array" aca="1" ref="B11" ca="1">_FV(A11,"Ticker symbol",TRUE)</f>
        <v>NFLX</v>
      </c>
      <c r="C11" s="299" cm="1">
        <f t="array" aca="1" ref="C11" ca="1">_FV(A11,"Volume average",TRUE)</f>
        <v>45790886</v>
      </c>
      <c r="D11" s="299" cm="1">
        <f t="array" aca="1" ref="D11" ca="1">_FV(A11,"Volume")</f>
        <v>43949009</v>
      </c>
      <c r="E11" s="300" cm="1">
        <f t="array" aca="1" ref="E11" ca="1">_FV(A11,"Beta")</f>
        <v>1.7051000000000001</v>
      </c>
      <c r="F11" s="255"/>
      <c r="G11" s="301" cm="1">
        <f t="array" aca="1" ref="G11" ca="1">_FV(A11,"Open")</f>
        <v>93.894999999999996</v>
      </c>
      <c r="H11" s="301" cm="1">
        <f t="array" aca="1" ref="H11" ca="1">_FV(A11,"High")</f>
        <v>94.82</v>
      </c>
      <c r="I11" s="301" cm="1">
        <f t="array" aca="1" ref="I11" ca="1">_FV(A11,"Low")</f>
        <v>92.76</v>
      </c>
      <c r="J11" s="301" cm="1">
        <f t="array" aca="1" ref="J11" ca="1">_FV(A11,"Previous close",TRUE)</f>
        <v>92.71</v>
      </c>
      <c r="K11" s="301" cm="1">
        <f t="array" aca="1" ref="K11" ca="1">_FV(A11,"Price")</f>
        <v>94.09</v>
      </c>
      <c r="L11" s="302" cm="1">
        <f t="array" aca="1" ref="L11" ca="1">_FV(A11,"Change (%)",TRUE)</f>
        <v>1.4884999999999999E-2</v>
      </c>
      <c r="M11" s="301" cm="1">
        <f t="array" aca="1" ref="M11" ca="1">_FV(A11,"Change")</f>
        <v>1.38</v>
      </c>
      <c r="N11" s="301" cm="1">
        <f t="array" aca="1" ref="N11" ca="1">_FV(A11,"52 week high",TRUE)</f>
        <v>134.11500000000001</v>
      </c>
      <c r="O11" s="301" cm="1">
        <f t="array" aca="1" ref="O11" ca="1">_FV(A11,"52 week low",TRUE)</f>
        <v>82.11</v>
      </c>
      <c r="P11" s="303" cm="1">
        <f t="array" aca="1" ref="P11" ca="1">_FV(A11,"Market cap",TRUE)</f>
        <v>429943784550</v>
      </c>
    </row>
    <row r="12" spans="1:16" x14ac:dyDescent="0.2">
      <c r="A12" s="255" t="e" vm="10">
        <v>#VALUE!</v>
      </c>
      <c r="B12" s="255" t="str" cm="1">
        <f t="array" aca="1" ref="B12" ca="1">_FV(A12,"Ticker symbol",TRUE)</f>
        <v>META</v>
      </c>
      <c r="C12" s="299" cm="1">
        <f t="array" aca="1" ref="C12" ca="1">_FV(A12,"Volume average",TRUE)</f>
        <v>19436134</v>
      </c>
      <c r="D12" s="299" cm="1">
        <f t="array" aca="1" ref="D12" ca="1">_FV(A12,"Volume")</f>
        <v>13056726</v>
      </c>
      <c r="E12" s="300" cm="1">
        <f t="array" aca="1" ref="E12" ca="1">_FV(A12,"Beta")</f>
        <v>1.2886</v>
      </c>
      <c r="F12" s="255"/>
      <c r="G12" s="301" cm="1">
        <f t="array" aca="1" ref="G12" ca="1">_FV(A12,"Open")</f>
        <v>643.29</v>
      </c>
      <c r="H12" s="301" cm="1">
        <f t="array" aca="1" ref="H12" ca="1">_FV(A12,"High")</f>
        <v>655.28</v>
      </c>
      <c r="I12" s="301" cm="1">
        <f t="array" aca="1" ref="I12" ca="1">_FV(A12,"Low")</f>
        <v>640.79499999999996</v>
      </c>
      <c r="J12" s="301" cm="1">
        <f t="array" aca="1" ref="J12" ca="1">_FV(A12,"Previous close",TRUE)</f>
        <v>650.13</v>
      </c>
      <c r="K12" s="301" cm="1">
        <f t="array" aca="1" ref="K12" ca="1">_FV(A12,"Price")</f>
        <v>652.71</v>
      </c>
      <c r="L12" s="302" cm="1">
        <f t="array" aca="1" ref="L12" ca="1">_FV(A12,"Change (%)",TRUE)</f>
        <v>3.9680000000000002E-3</v>
      </c>
      <c r="M12" s="301" cm="1">
        <f t="array" aca="1" ref="M12" ca="1">_FV(A12,"Change")</f>
        <v>2.58</v>
      </c>
      <c r="N12" s="301" cm="1">
        <f t="array" aca="1" ref="N12" ca="1">_FV(A12,"52 week high",TRUE)</f>
        <v>796.25</v>
      </c>
      <c r="O12" s="301" cm="1">
        <f t="array" aca="1" ref="O12" ca="1">_FV(A12,"52 week low",TRUE)</f>
        <v>479.8</v>
      </c>
      <c r="P12" s="303" cm="1">
        <f t="array" aca="1" ref="P12" ca="1">_FV(A12,"Market cap",TRUE)</f>
        <v>1645173830880</v>
      </c>
    </row>
    <row r="13" spans="1:16" x14ac:dyDescent="0.2">
      <c r="A13" s="255" t="e" vm="8">
        <v>#VALUE!</v>
      </c>
      <c r="B13" s="255" t="str" cm="1">
        <f t="array" aca="1" ref="B13" ca="1">_FV(A13,"Ticker symbol",TRUE)</f>
        <v>AMZN</v>
      </c>
      <c r="C13" s="299" cm="1">
        <f t="array" aca="1" ref="C13" ca="1">_FV(A13,"Volume average",TRUE)</f>
        <v>42294615</v>
      </c>
      <c r="D13" s="299" cm="1">
        <f t="array" aca="1" ref="D13" ca="1">_FV(A13,"Volume")</f>
        <v>28249599</v>
      </c>
      <c r="E13" s="300" cm="1">
        <f t="array" aca="1" ref="E13" ca="1">_FV(A13,"Beta")</f>
        <v>1.3754999999999999</v>
      </c>
      <c r="F13" s="255"/>
      <c r="G13" s="301" cm="1">
        <f t="array" aca="1" ref="G13" ca="1">_FV(A13,"Open")</f>
        <v>230.71</v>
      </c>
      <c r="H13" s="301" cm="1">
        <f t="array" aca="1" ref="H13" ca="1">_FV(A13,"High")</f>
        <v>232.11</v>
      </c>
      <c r="I13" s="301" cm="1">
        <f t="array" aca="1" ref="I13" ca="1">_FV(A13,"Low")</f>
        <v>228.6901</v>
      </c>
      <c r="J13" s="301" cm="1">
        <f t="array" aca="1" ref="J13" ca="1">_FV(A13,"Previous close",TRUE)</f>
        <v>231.78</v>
      </c>
      <c r="K13" s="301" cm="1">
        <f t="array" aca="1" ref="K13" ca="1">_FV(A13,"Price")</f>
        <v>230.28</v>
      </c>
      <c r="L13" s="302" cm="1">
        <f t="array" aca="1" ref="L13" ca="1">_FV(A13,"Change (%)",TRUE)</f>
        <v>-6.4720000000000003E-3</v>
      </c>
      <c r="M13" s="301" cm="1">
        <f t="array" aca="1" ref="M13" ca="1">_FV(A13,"Change")</f>
        <v>-1.5</v>
      </c>
      <c r="N13" s="301" cm="1">
        <f t="array" aca="1" ref="N13" ca="1">_FV(A13,"52 week high",TRUE)</f>
        <v>258.60000000000002</v>
      </c>
      <c r="O13" s="301" cm="1">
        <f t="array" aca="1" ref="O13" ca="1">_FV(A13,"52 week low",TRUE)</f>
        <v>161.38</v>
      </c>
      <c r="P13" s="303" cm="1">
        <f t="array" aca="1" ref="P13" ca="1">_FV(A13,"Market cap",TRUE)</f>
        <v>2477778000000</v>
      </c>
    </row>
    <row r="14" spans="1:16" x14ac:dyDescent="0.2">
      <c r="A14" s="255" t="e" vm="52">
        <v>#VALUE!</v>
      </c>
      <c r="B14" s="255" t="str" cm="1">
        <f t="array" aca="1" ref="B14" ca="1">_FV(A14,"Ticker symbol",TRUE)</f>
        <v>GOOG</v>
      </c>
      <c r="C14" s="299" cm="1">
        <f t="array" aca="1" ref="C14" ca="1">_FV(A14,"Volume average",TRUE)</f>
        <v>26979641</v>
      </c>
      <c r="D14" s="299" cm="1">
        <f t="array" aca="1" ref="D14" ca="1">_FV(A14,"Volume")</f>
        <v>25912059</v>
      </c>
      <c r="E14" s="300" cm="1">
        <f t="array" aca="1" ref="E14" ca="1">_FV(A14,"Beta")</f>
        <v>1.0834999999999999</v>
      </c>
      <c r="F14" s="255"/>
      <c r="G14" s="301" cm="1">
        <f t="array" aca="1" ref="G14" ca="1">_FV(A14,"Open")</f>
        <v>321.10000000000002</v>
      </c>
      <c r="H14" s="301" cm="1">
        <f t="array" aca="1" ref="H14" ca="1">_FV(A14,"High")</f>
        <v>321.99</v>
      </c>
      <c r="I14" s="301" cm="1">
        <f t="array" aca="1" ref="I14" ca="1">_FV(A14,"Low")</f>
        <v>309.88</v>
      </c>
      <c r="J14" s="301" cm="1">
        <f t="array" aca="1" ref="J14" ca="1">_FV(A14,"Previous close",TRUE)</f>
        <v>321</v>
      </c>
      <c r="K14" s="301" cm="1">
        <f t="array" aca="1" ref="K14" ca="1">_FV(A14,"Price")</f>
        <v>313.7</v>
      </c>
      <c r="L14" s="302" cm="1">
        <f t="array" aca="1" ref="L14" ca="1">_FV(A14,"Change (%)",TRUE)</f>
        <v>-2.2740999999999997E-2</v>
      </c>
      <c r="M14" s="301" cm="1">
        <f t="array" aca="1" ref="M14" ca="1">_FV(A14,"Change")</f>
        <v>-7.3</v>
      </c>
      <c r="N14" s="301" cm="1">
        <f t="array" aca="1" ref="N14" ca="1">_FV(A14,"52 week high",TRUE)</f>
        <v>328.67</v>
      </c>
      <c r="O14" s="301" cm="1">
        <f t="array" aca="1" ref="O14" ca="1">_FV(A14,"52 week low",TRUE)</f>
        <v>142.66</v>
      </c>
      <c r="P14" s="303" cm="1">
        <f t="array" aca="1" ref="P14" ca="1">_FV(A14,"Market cap",TRUE)</f>
        <v>3868246000000</v>
      </c>
    </row>
    <row r="15" spans="1:16" x14ac:dyDescent="0.2">
      <c r="A15" s="255" t="e" vm="44">
        <v>#VALUE!</v>
      </c>
      <c r="B15" s="255" t="str" cm="1">
        <f t="array" aca="1" ref="B15" ca="1">_FV(A15,"Ticker symbol",TRUE)</f>
        <v>TSLA</v>
      </c>
      <c r="C15" s="299" cm="1">
        <f t="array" aca="1" ref="C15" ca="1">_FV(A15,"Volume average",TRUE)</f>
        <v>79739621</v>
      </c>
      <c r="D15" s="299" cm="1">
        <f t="array" aca="1" ref="D15" ca="1">_FV(A15,"Volume")</f>
        <v>55979492</v>
      </c>
      <c r="E15" s="300" cm="1">
        <f t="array" aca="1" ref="E15" ca="1">_FV(A15,"Beta")</f>
        <v>1.837</v>
      </c>
      <c r="F15" s="255"/>
      <c r="G15" s="301" cm="1">
        <f t="array" aca="1" ref="G15" ca="1">_FV(A15,"Open")</f>
        <v>448.94499999999999</v>
      </c>
      <c r="H15" s="301" cm="1">
        <f t="array" aca="1" ref="H15" ca="1">_FV(A15,"High")</f>
        <v>449.26990000000001</v>
      </c>
      <c r="I15" s="301" cm="1">
        <f t="array" aca="1" ref="I15" ca="1">_FV(A15,"Low")</f>
        <v>440.33</v>
      </c>
      <c r="J15" s="301" cm="1">
        <f t="array" aca="1" ref="J15" ca="1">_FV(A15,"Previous close",TRUE)</f>
        <v>451.45</v>
      </c>
      <c r="K15" s="301" cm="1">
        <f t="array" aca="1" ref="K15" ca="1">_FV(A15,"Price")</f>
        <v>446.89</v>
      </c>
      <c r="L15" s="302" cm="1">
        <f t="array" aca="1" ref="L15" ca="1">_FV(A15,"Change (%)",TRUE)</f>
        <v>-1.0101000000000001E-2</v>
      </c>
      <c r="M15" s="301" cm="1">
        <f t="array" aca="1" ref="M15" ca="1">_FV(A15,"Change")</f>
        <v>-4.5599999999999996</v>
      </c>
      <c r="N15" s="301" cm="1">
        <f t="array" aca="1" ref="N15" ca="1">_FV(A15,"52 week high",TRUE)</f>
        <v>488.53989999999999</v>
      </c>
      <c r="O15" s="301" cm="1">
        <f t="array" aca="1" ref="O15" ca="1">_FV(A15,"52 week low",TRUE)</f>
        <v>214.25</v>
      </c>
      <c r="P15" s="303" cm="1">
        <f t="array" aca="1" ref="P15" ca="1">_FV(A15,"Market cap",TRUE)</f>
        <v>1486275252910</v>
      </c>
    </row>
    <row r="16" spans="1:16" x14ac:dyDescent="0.2">
      <c r="A16" s="255" t="e" vm="15">
        <v>#VALUE!</v>
      </c>
      <c r="B16" s="255" t="str" cm="1">
        <f t="array" aca="1" ref="B16" ca="1">_FV(A16,"Ticker symbol",TRUE)</f>
        <v>HOOD</v>
      </c>
      <c r="C16" s="299" cm="1">
        <f t="array" aca="1" ref="C16" ca="1">_FV(A16,"Volume average",TRUE)</f>
        <v>29671658</v>
      </c>
      <c r="D16" s="299" cm="1">
        <f t="array" aca="1" ref="D16" ca="1">_FV(A16,"Volume")</f>
        <v>44624831</v>
      </c>
      <c r="E16" s="300" cm="1">
        <f t="array" aca="1" ref="E16" ca="1">_FV(A16,"Beta")</f>
        <v>2.4323999999999999</v>
      </c>
      <c r="F16" s="255"/>
      <c r="G16" s="301" cm="1">
        <f t="array" aca="1" ref="G16" ca="1">_FV(A16,"Open")</f>
        <v>131.77500000000001</v>
      </c>
      <c r="H16" s="301" cm="1">
        <f t="array" aca="1" ref="H16" ca="1">_FV(A16,"High")</f>
        <v>131.77500000000001</v>
      </c>
      <c r="I16" s="301" cm="1">
        <f t="array" aca="1" ref="I16" ca="1">_FV(A16,"Low")</f>
        <v>122.53</v>
      </c>
      <c r="J16" s="301" cm="1">
        <f t="array" aca="1" ref="J16" ca="1">_FV(A16,"Previous close",TRUE)</f>
        <v>135.66</v>
      </c>
      <c r="K16" s="301" cm="1">
        <f t="array" aca="1" ref="K16" ca="1">_FV(A16,"Price")</f>
        <v>123.38</v>
      </c>
      <c r="L16" s="302" cm="1">
        <f t="array" aca="1" ref="L16" ca="1">_FV(A16,"Change (%)",TRUE)</f>
        <v>-9.0519999999999989E-2</v>
      </c>
      <c r="M16" s="301" cm="1">
        <f t="array" aca="1" ref="M16" ca="1">_FV(A16,"Change")</f>
        <v>-12.28</v>
      </c>
      <c r="N16" s="301" cm="1">
        <f t="array" aca="1" ref="N16" ca="1">_FV(A16,"52 week high",TRUE)</f>
        <v>153.85990000000001</v>
      </c>
      <c r="O16" s="301" cm="1">
        <f t="array" aca="1" ref="O16" ca="1">_FV(A16,"52 week low",TRUE)</f>
        <v>29.66</v>
      </c>
      <c r="P16" s="303" cm="1">
        <f t="array" aca="1" ref="P16" ca="1">_FV(A16,"Market cap",TRUE)</f>
        <v>121984000000</v>
      </c>
    </row>
    <row r="17" spans="1:16" x14ac:dyDescent="0.2">
      <c r="A17" s="255" t="e" vm="4">
        <v>#VALUE!</v>
      </c>
      <c r="B17" s="255" t="str" cm="1">
        <f t="array" aca="1" ref="B17" ca="1">_FV(A17,"Ticker symbol",TRUE)</f>
        <v>SMCI</v>
      </c>
      <c r="C17" s="299" cm="1">
        <f t="array" aca="1" ref="C17" ca="1">_FV(A17,"Volume average",TRUE)</f>
        <v>26480376</v>
      </c>
      <c r="D17" s="299" cm="1">
        <f t="array" aca="1" ref="D17" ca="1">_FV(A17,"Volume")</f>
        <v>23178866</v>
      </c>
      <c r="E17" s="300" cm="1">
        <f t="array" aca="1" ref="E17" ca="1">_FV(A17,"Beta")</f>
        <v>1.5136000000000001</v>
      </c>
      <c r="F17" s="255"/>
      <c r="G17" s="301" cm="1">
        <f t="array" aca="1" ref="G17" ca="1">_FV(A17,"Open")</f>
        <v>34.15</v>
      </c>
      <c r="H17" s="301" cm="1">
        <f t="array" aca="1" ref="H17" ca="1">_FV(A17,"High")</f>
        <v>34.159999999999997</v>
      </c>
      <c r="I17" s="301" cm="1">
        <f t="array" aca="1" ref="I17" ca="1">_FV(A17,"Low")</f>
        <v>32.905000000000001</v>
      </c>
      <c r="J17" s="301" cm="1">
        <f t="array" aca="1" ref="J17" ca="1">_FV(A17,"Previous close",TRUE)</f>
        <v>34.9</v>
      </c>
      <c r="K17" s="301" cm="1">
        <f t="array" aca="1" ref="K17" ca="1">_FV(A17,"Price")</f>
        <v>34.020000000000003</v>
      </c>
      <c r="L17" s="302" cm="1">
        <f t="array" aca="1" ref="L17" ca="1">_FV(A17,"Change (%)",TRUE)</f>
        <v>-2.5215000000000001E-2</v>
      </c>
      <c r="M17" s="301" cm="1">
        <f t="array" aca="1" ref="M17" ca="1">_FV(A17,"Change")</f>
        <v>-0.88</v>
      </c>
      <c r="N17" s="301" cm="1">
        <f t="array" aca="1" ref="N17" ca="1">_FV(A17,"52 week high",TRUE)</f>
        <v>66.439899999999994</v>
      </c>
      <c r="O17" s="301" cm="1">
        <f t="array" aca="1" ref="O17" ca="1">_FV(A17,"52 week low",TRUE)</f>
        <v>25.71</v>
      </c>
      <c r="P17" s="303" cm="1">
        <f t="array" aca="1" ref="P17" ca="1">_FV(A17,"Market cap",TRUE)</f>
        <v>20308956822</v>
      </c>
    </row>
    <row r="18" spans="1:16" x14ac:dyDescent="0.2">
      <c r="A18" s="255" t="e" vm="53">
        <v>#VALUE!</v>
      </c>
      <c r="B18" s="255" t="str" cm="1">
        <f t="array" aca="1" ref="B18" ca="1">_FV(A18,"Ticker symbol",TRUE)</f>
        <v>RDDT</v>
      </c>
      <c r="C18" s="299" cm="1">
        <f t="array" aca="1" ref="C18" ca="1">_FV(A18,"Volume average",TRUE)</f>
        <v>4273358</v>
      </c>
      <c r="D18" s="299" cm="1">
        <f t="array" aca="1" ref="D18" ca="1">_FV(A18,"Volume")</f>
        <v>4386042</v>
      </c>
      <c r="E18" s="300" cm="1">
        <f t="array" aca="1" ref="E18" ca="1">_FV(A18,"Beta")</f>
        <v>2.3620000000000001</v>
      </c>
      <c r="F18" s="255"/>
      <c r="G18" s="301" cm="1">
        <f t="array" aca="1" ref="G18" ca="1">_FV(A18,"Open")</f>
        <v>235.54</v>
      </c>
      <c r="H18" s="301" cm="1">
        <f t="array" aca="1" ref="H18" ca="1">_FV(A18,"High")</f>
        <v>238</v>
      </c>
      <c r="I18" s="301" cm="1">
        <f t="array" aca="1" ref="I18" ca="1">_FV(A18,"Low")</f>
        <v>227.2971</v>
      </c>
      <c r="J18" s="301" cm="1">
        <f t="array" aca="1" ref="J18" ca="1">_FV(A18,"Previous close",TRUE)</f>
        <v>238.11</v>
      </c>
      <c r="K18" s="301" cm="1">
        <f t="array" aca="1" ref="K18" ca="1">_FV(A18,"Price")</f>
        <v>233.54</v>
      </c>
      <c r="L18" s="302" cm="1">
        <f t="array" aca="1" ref="L18" ca="1">_FV(A18,"Change (%)",TRUE)</f>
        <v>-1.9193000000000002E-2</v>
      </c>
      <c r="M18" s="301" cm="1">
        <f t="array" aca="1" ref="M18" ca="1">_FV(A18,"Change")</f>
        <v>-4.57</v>
      </c>
      <c r="N18" s="301" cm="1">
        <f t="array" aca="1" ref="N18" ca="1">_FV(A18,"52 week high",TRUE)</f>
        <v>282.95</v>
      </c>
      <c r="O18" s="301" cm="1">
        <f t="array" aca="1" ref="O18" ca="1">_FV(A18,"52 week low",TRUE)</f>
        <v>79.749899999999997</v>
      </c>
      <c r="P18" s="303" cm="1">
        <f t="array" aca="1" ref="P18" ca="1">_FV(A18,"Market cap",TRUE)</f>
        <v>44254849132</v>
      </c>
    </row>
    <row r="19" spans="1:16" x14ac:dyDescent="0.2">
      <c r="A19" s="255" t="e" vm="54">
        <v>#VALUE!</v>
      </c>
      <c r="B19" s="255" t="str" cm="1">
        <f t="array" aca="1" ref="B19" ca="1">_FV(A19,"Ticker symbol",TRUE)</f>
        <v>PLTR</v>
      </c>
      <c r="C19" s="299" cm="1">
        <f t="array" aca="1" ref="C19" ca="1">_FV(A19,"Volume average",TRUE)</f>
        <v>50289333</v>
      </c>
      <c r="D19" s="299" cm="1">
        <f t="array" aca="1" ref="D19" ca="1">_FV(A19,"Volume")</f>
        <v>36843184</v>
      </c>
      <c r="E19" s="300" cm="1">
        <f t="array" aca="1" ref="E19" ca="1">_FV(A19,"Beta")</f>
        <v>1.5428999999999999</v>
      </c>
      <c r="F19" s="255"/>
      <c r="G19" s="301" cm="1">
        <f t="array" aca="1" ref="G19" ca="1">_FV(A19,"Open")</f>
        <v>184.8</v>
      </c>
      <c r="H19" s="301" cm="1">
        <f t="array" aca="1" ref="H19" ca="1">_FV(A19,"High")</f>
        <v>188.05</v>
      </c>
      <c r="I19" s="301" cm="1">
        <f t="array" aca="1" ref="I19" ca="1">_FV(A19,"Low")</f>
        <v>180.21</v>
      </c>
      <c r="J19" s="301" cm="1">
        <f t="array" aca="1" ref="J19" ca="1">_FV(A19,"Previous close",TRUE)</f>
        <v>187.91</v>
      </c>
      <c r="K19" s="301" cm="1">
        <f t="array" aca="1" ref="K19" ca="1">_FV(A19,"Price")</f>
        <v>187.54</v>
      </c>
      <c r="L19" s="302" cm="1">
        <f t="array" aca="1" ref="L19" ca="1">_FV(A19,"Change (%)",TRUE)</f>
        <v>-1.9689999999999998E-3</v>
      </c>
      <c r="M19" s="301" cm="1">
        <f t="array" aca="1" ref="M19" ca="1">_FV(A19,"Change")</f>
        <v>-0.37</v>
      </c>
      <c r="N19" s="301" cm="1">
        <f t="array" aca="1" ref="N19" ca="1">_FV(A19,"52 week high",TRUE)</f>
        <v>207.52</v>
      </c>
      <c r="O19" s="301" cm="1">
        <f t="array" aca="1" ref="O19" ca="1">_FV(A19,"52 week low",TRUE)</f>
        <v>63.4</v>
      </c>
      <c r="P19" s="303" cm="1">
        <f t="array" aca="1" ref="P19" ca="1">_FV(A19,"Market cap",TRUE)</f>
        <v>446801109740</v>
      </c>
    </row>
    <row r="20" spans="1:16" x14ac:dyDescent="0.2">
      <c r="A20" s="255" t="e" vm="55">
        <v>#VALUE!</v>
      </c>
      <c r="B20" s="255" t="str" cm="1">
        <f t="array" aca="1" ref="B20" ca="1">_FV(A20,"Ticker symbol",TRUE)</f>
        <v>COST</v>
      </c>
      <c r="C20" s="299" cm="1">
        <f t="array" aca="1" ref="C20" ca="1">_FV(A20,"Volume average",TRUE)</f>
        <v>2508964</v>
      </c>
      <c r="D20" s="299" cm="1">
        <f t="array" aca="1" ref="D20" ca="1">_FV(A20,"Volume")</f>
        <v>3041582</v>
      </c>
      <c r="E20" s="300" cm="1">
        <f t="array" aca="1" ref="E20" ca="1">_FV(A20,"Beta")</f>
        <v>1.0106999999999999</v>
      </c>
      <c r="F20" s="255"/>
      <c r="G20" s="301" cm="1">
        <f t="array" aca="1" ref="G20" ca="1">_FV(A20,"Open")</f>
        <v>875.86</v>
      </c>
      <c r="H20" s="301" cm="1">
        <f t="array" aca="1" ref="H20" ca="1">_FV(A20,"High")</f>
        <v>886</v>
      </c>
      <c r="I20" s="301" cm="1">
        <f t="array" aca="1" ref="I20" ca="1">_FV(A20,"Low")</f>
        <v>872.55010000000004</v>
      </c>
      <c r="J20" s="301" cm="1">
        <f t="array" aca="1" ref="J20" ca="1">_FV(A20,"Previous close",TRUE)</f>
        <v>874.41</v>
      </c>
      <c r="K20" s="301" cm="1">
        <f t="array" aca="1" ref="K20" ca="1">_FV(A20,"Price")</f>
        <v>884.48</v>
      </c>
      <c r="L20" s="302" cm="1">
        <f t="array" aca="1" ref="L20" ca="1">_FV(A20,"Change (%)",TRUE)</f>
        <v>1.1516E-2</v>
      </c>
      <c r="M20" s="301" cm="1">
        <f t="array" aca="1" ref="M20" ca="1">_FV(A20,"Change")</f>
        <v>10.07</v>
      </c>
      <c r="N20" s="301" cm="1">
        <f t="array" aca="1" ref="N20" ca="1">_FV(A20,"52 week high",TRUE)</f>
        <v>1078.2349999999999</v>
      </c>
      <c r="O20" s="301" cm="1">
        <f t="array" aca="1" ref="O20" ca="1">_FV(A20,"52 week low",TRUE)</f>
        <v>871.09</v>
      </c>
      <c r="P20" s="303" cm="1">
        <f t="array" aca="1" ref="P20" ca="1">_FV(A20,"Market cap",TRUE)</f>
        <v>392671706496</v>
      </c>
    </row>
    <row r="21" spans="1:16" x14ac:dyDescent="0.2">
      <c r="A21" s="255" t="e" vm="13">
        <v>#VALUE!</v>
      </c>
      <c r="B21" s="255" t="str" cm="1">
        <f t="array" aca="1" ref="B21" ca="1">_FV(A21,"Ticker symbol",TRUE)</f>
        <v>JPM</v>
      </c>
      <c r="C21" s="299" cm="1">
        <f t="array" aca="1" ref="C21" ca="1">_FV(A21,"Volume average",TRUE)</f>
        <v>8774510</v>
      </c>
      <c r="D21" s="299" cm="1">
        <f t="array" aca="1" ref="D21" ca="1">_FV(A21,"Volume")</f>
        <v>9721859</v>
      </c>
      <c r="E21" s="300" cm="1">
        <f t="array" aca="1" ref="E21" ca="1">_FV(A21,"Beta")</f>
        <v>1.0691999999999999</v>
      </c>
      <c r="F21" s="255"/>
      <c r="G21" s="301" cm="1">
        <f t="array" aca="1" ref="G21" ca="1">_FV(A21,"Open")</f>
        <v>309.24</v>
      </c>
      <c r="H21" s="301" cm="1">
        <f t="array" aca="1" ref="H21" ca="1">_FV(A21,"High")</f>
        <v>318</v>
      </c>
      <c r="I21" s="301" cm="1">
        <f t="array" aca="1" ref="I21" ca="1">_FV(A21,"Low")</f>
        <v>309.24</v>
      </c>
      <c r="J21" s="301" cm="1">
        <f t="array" aca="1" ref="J21" ca="1">_FV(A21,"Previous close",TRUE)</f>
        <v>310.11</v>
      </c>
      <c r="K21" s="301" cm="1">
        <f t="array" aca="1" ref="K21" ca="1">_FV(A21,"Price")</f>
        <v>317.38</v>
      </c>
      <c r="L21" s="302" cm="1">
        <f t="array" aca="1" ref="L21" ca="1">_FV(A21,"Change (%)",TRUE)</f>
        <v>2.3443000000000002E-2</v>
      </c>
      <c r="M21" s="301" cm="1">
        <f t="array" aca="1" ref="M21" ca="1">_FV(A21,"Change")</f>
        <v>7.27</v>
      </c>
      <c r="N21" s="301" cm="1">
        <f t="array" aca="1" ref="N21" ca="1">_FV(A21,"52 week high",TRUE)</f>
        <v>322.25</v>
      </c>
      <c r="O21" s="301" cm="1">
        <f t="array" aca="1" ref="O21" ca="1">_FV(A21,"52 week low",TRUE)</f>
        <v>202.16</v>
      </c>
      <c r="P21" s="303" cm="1">
        <f t="array" aca="1" ref="P21" ca="1">_FV(A21,"Market cap",TRUE)</f>
        <v>872716924520</v>
      </c>
    </row>
    <row r="22" spans="1:16" x14ac:dyDescent="0.2">
      <c r="A22" s="255" t="e" vm="56">
        <v>#VALUE!</v>
      </c>
      <c r="B22" s="255" t="str" cm="1">
        <f t="array" aca="1" ref="B22" ca="1">_FV(A22,"Ticker symbol",TRUE)</f>
        <v>BRK.B</v>
      </c>
      <c r="C22" s="299" cm="1">
        <f t="array" aca="1" ref="C22" ca="1">_FV(A22,"Volume average",TRUE)</f>
        <v>5164551</v>
      </c>
      <c r="D22" s="299" cm="1">
        <f t="array" aca="1" ref="D22" ca="1">_FV(A22,"Volume")</f>
        <v>4493445</v>
      </c>
      <c r="E22" s="300" cm="1">
        <f t="array" aca="1" ref="E22" ca="1">_FV(A22,"Beta")</f>
        <v>0.71040000000000003</v>
      </c>
      <c r="F22" s="255"/>
      <c r="G22" s="301" cm="1">
        <f t="array" aca="1" ref="G22" ca="1">_FV(A22,"Open")</f>
        <v>491.83</v>
      </c>
      <c r="H22" s="301" cm="1">
        <f t="array" aca="1" ref="H22" ca="1">_FV(A22,"High")</f>
        <v>498.14499999999998</v>
      </c>
      <c r="I22" s="301" cm="1">
        <f t="array" aca="1" ref="I22" ca="1">_FV(A22,"Low")</f>
        <v>491.83</v>
      </c>
      <c r="J22" s="301" cm="1">
        <f t="array" aca="1" ref="J22" ca="1">_FV(A22,"Previous close",TRUE)</f>
        <v>490.43</v>
      </c>
      <c r="K22" s="301" cm="1">
        <f t="array" aca="1" ref="K22" ca="1">_FV(A22,"Price")</f>
        <v>495.85</v>
      </c>
      <c r="L22" s="302" cm="1">
        <f t="array" aca="1" ref="L22" ca="1">_FV(A22,"Change (%)",TRUE)</f>
        <v>1.1051999999999999E-2</v>
      </c>
      <c r="M22" s="301" cm="1">
        <f t="array" aca="1" ref="M22" ca="1">_FV(A22,"Change")</f>
        <v>5.42</v>
      </c>
      <c r="N22" s="301" cm="1">
        <f t="array" aca="1" ref="N22" ca="1">_FV(A22,"52 week high",TRUE)</f>
        <v>542.07000000000005</v>
      </c>
      <c r="O22" s="301" cm="1">
        <f t="array" aca="1" ref="O22" ca="1">_FV(A22,"52 week low",TRUE)</f>
        <v>440.1</v>
      </c>
      <c r="P22" s="303" cm="1">
        <f t="array" aca="1" ref="P22" ca="1">_FV(A22,"Market cap",TRUE)</f>
        <v>1057829000000</v>
      </c>
    </row>
    <row r="23" spans="1:16" x14ac:dyDescent="0.2">
      <c r="A23" s="255" t="e" vm="16">
        <v>#VALUE!</v>
      </c>
      <c r="B23" s="255" t="str" cm="1">
        <f t="array" aca="1" ref="B23" ca="1">_FV(A23,"Ticker symbol",TRUE)</f>
        <v>SOFI</v>
      </c>
      <c r="C23" s="299" cm="1">
        <f t="array" aca="1" ref="C23" ca="1">_FV(A23,"Volume average",TRUE)</f>
        <v>73338604</v>
      </c>
      <c r="D23" s="299" cm="1">
        <f t="array" aca="1" ref="D23" ca="1">_FV(A23,"Volume")</f>
        <v>42165647</v>
      </c>
      <c r="E23" s="300" cm="1">
        <f t="array" aca="1" ref="E23" ca="1">_FV(A23,"Beta")</f>
        <v>1.9235</v>
      </c>
      <c r="F23" s="255"/>
      <c r="G23" s="301" cm="1">
        <f t="array" aca="1" ref="G23" ca="1">_FV(A23,"Open")</f>
        <v>26.84</v>
      </c>
      <c r="H23" s="301" cm="1">
        <f t="array" aca="1" ref="H23" ca="1">_FV(A23,"High")</f>
        <v>27.28</v>
      </c>
      <c r="I23" s="301" cm="1">
        <f t="array" aca="1" ref="I23" ca="1">_FV(A23,"Low")</f>
        <v>26.555</v>
      </c>
      <c r="J23" s="301" cm="1">
        <f t="array" aca="1" ref="J23" ca="1">_FV(A23,"Previous close",TRUE)</f>
        <v>27.09</v>
      </c>
      <c r="K23" s="301" cm="1">
        <f t="array" aca="1" ref="K23" ca="1">_FV(A23,"Price")</f>
        <v>27.07</v>
      </c>
      <c r="L23" s="302" cm="1">
        <f t="array" aca="1" ref="L23" ca="1">_FV(A23,"Change (%)",TRUE)</f>
        <v>-7.3830000000000011E-4</v>
      </c>
      <c r="M23" s="301" cm="1">
        <f t="array" aca="1" ref="M23" ca="1">_FV(A23,"Change")</f>
        <v>-0.02</v>
      </c>
      <c r="N23" s="301" cm="1">
        <f t="array" aca="1" ref="N23" ca="1">_FV(A23,"52 week high",TRUE)</f>
        <v>32.729999999999997</v>
      </c>
      <c r="O23" s="301" cm="1">
        <f t="array" aca="1" ref="O23" ca="1">_FV(A23,"52 week low",TRUE)</f>
        <v>8.6</v>
      </c>
      <c r="P23" s="303" cm="1">
        <f t="array" aca="1" ref="P23" ca="1">_FV(A23,"Market cap",TRUE)</f>
        <v>34145550000</v>
      </c>
    </row>
    <row r="24" spans="1:16" x14ac:dyDescent="0.2">
      <c r="A24" s="255" t="e" vm="12">
        <v>#VALUE!</v>
      </c>
      <c r="B24" s="255" t="s">
        <v>16</v>
      </c>
      <c r="C24" s="299" cm="1">
        <f t="array" aca="1" ref="C24" ca="1">_FV(A24,"Volume average",TRUE)</f>
        <v>5546319</v>
      </c>
      <c r="D24" s="299" cm="1">
        <f t="array" aca="1" ref="D24" ca="1">_FV(A24,"Volume")</f>
        <v>6196835</v>
      </c>
      <c r="E24" s="300" cm="1">
        <f t="array" aca="1" ref="E24" ca="1">_FV(A24,"Beta")</f>
        <v>0.98870000000000002</v>
      </c>
      <c r="F24" s="255"/>
      <c r="G24" s="301" cm="1">
        <f t="array" aca="1" ref="G24" ca="1">_FV(A24,"Open")</f>
        <v>23.95</v>
      </c>
      <c r="H24" s="301" cm="1">
        <f t="array" aca="1" ref="H24" ca="1">_FV(A24,"High")</f>
        <v>24.22</v>
      </c>
      <c r="I24" s="301" cm="1">
        <f t="array" aca="1" ref="I24" ca="1">_FV(A24,"Low")</f>
        <v>23.93</v>
      </c>
      <c r="J24" s="301" cm="1">
        <f t="array" aca="1" ref="J24" ca="1">_FV(A24,"Previous close",TRUE)</f>
        <v>23.82</v>
      </c>
      <c r="K24" s="301" cm="1">
        <f t="array" aca="1" ref="K24" ca="1">_FV(A24,"Price")</f>
        <v>24.19</v>
      </c>
      <c r="L24" s="302" cm="1">
        <f t="array" aca="1" ref="L24" ca="1">_FV(A24,"Change (%)",TRUE)</f>
        <v>1.5532999999999998E-2</v>
      </c>
      <c r="M24" s="301" cm="1">
        <f t="array" aca="1" ref="M24" ca="1">_FV(A24,"Change")</f>
        <v>0.37</v>
      </c>
      <c r="N24" s="301" cm="1">
        <f t="array" aca="1" ref="N24" ca="1">_FV(A24,"52 week high",TRUE)</f>
        <v>24.22</v>
      </c>
      <c r="O24" s="301" cm="1">
        <f t="array" aca="1" ref="O24" ca="1">_FV(A24,"52 week low",TRUE)</f>
        <v>12.14</v>
      </c>
      <c r="P24" s="303" cm="1">
        <f t="array" aca="1" ref="P24" ca="1">_FV(A24,"Market cap",TRUE)</f>
        <v>81680940000</v>
      </c>
    </row>
    <row r="25" spans="1:16" x14ac:dyDescent="0.2">
      <c r="A25" s="255" t="e" vm="14">
        <v>#VALUE!</v>
      </c>
      <c r="B25" s="307" t="s">
        <v>160</v>
      </c>
      <c r="C25" s="299" cm="1">
        <f t="array" aca="1" ref="C25" ca="1">_FV(A25,"Volume average",TRUE)</f>
        <v>25901622</v>
      </c>
      <c r="D25" s="299" cm="1">
        <f t="array" aca="1" ref="D25" ca="1">_FV(A25,"Volume")</f>
        <v>21894995</v>
      </c>
      <c r="E25" s="300" cm="1">
        <f t="array" aca="1" ref="E25" ca="1">_FV(A25,"Beta")</f>
        <v>0.32829999999999998</v>
      </c>
      <c r="F25" s="255"/>
      <c r="G25" s="301" cm="1">
        <f t="array" aca="1" ref="G25" ca="1">_FV(A25,"Open")</f>
        <v>40</v>
      </c>
      <c r="H25" s="301" cm="1">
        <f t="array" aca="1" ref="H25" ca="1">_FV(A25,"High")</f>
        <v>40.549999999999997</v>
      </c>
      <c r="I25" s="301" cm="1">
        <f t="array" aca="1" ref="I25" ca="1">_FV(A25,"Low")</f>
        <v>39.97</v>
      </c>
      <c r="J25" s="301" cm="1">
        <f t="array" aca="1" ref="J25" ca="1">_FV(A25,"Previous close",TRUE)</f>
        <v>39.92</v>
      </c>
      <c r="K25" s="301" cm="1">
        <f t="array" aca="1" ref="K25" ca="1">_FV(A25,"Price")</f>
        <v>40.22</v>
      </c>
      <c r="L25" s="302" cm="1">
        <f t="array" aca="1" ref="L25" ca="1">_FV(A25,"Change (%)",TRUE)</f>
        <v>7.5149999999999991E-3</v>
      </c>
      <c r="M25" s="301" cm="1">
        <f t="array" aca="1" ref="M25" ca="1">_FV(A25,"Change")</f>
        <v>0.3</v>
      </c>
      <c r="N25" s="301" cm="1">
        <f t="array" aca="1" ref="N25" ca="1">_FV(A25,"52 week high",TRUE)</f>
        <v>47.354999999999997</v>
      </c>
      <c r="O25" s="301" cm="1">
        <f t="array" aca="1" ref="O25" ca="1">_FV(A25,"52 week low",TRUE)</f>
        <v>37.585000000000001</v>
      </c>
      <c r="P25" s="303" cm="1">
        <f t="array" aca="1" ref="P25" ca="1">_FV(A25,"Market cap",TRUE)</f>
        <v>169584613500</v>
      </c>
    </row>
    <row r="26" spans="1:16" x14ac:dyDescent="0.2">
      <c r="A26" s="255" t="e" vm="17">
        <v>#VALUE!</v>
      </c>
      <c r="B26" s="308" t="s">
        <v>163</v>
      </c>
      <c r="C26" s="299" cm="1">
        <f t="array" aca="1" ref="C26" ca="1">_FV(A26,"Volume average",TRUE)</f>
        <v>7520330</v>
      </c>
      <c r="D26" s="299" cm="1">
        <f t="array" aca="1" ref="D26" ca="1">_FV(A26,"Volume")</f>
        <v>7513165</v>
      </c>
      <c r="E26" s="300" cm="1">
        <f t="array" aca="1" ref="E26" ca="1">_FV(A26,"Beta")</f>
        <v>0.42599999999999999</v>
      </c>
      <c r="F26" s="255"/>
      <c r="G26" s="301" cm="1">
        <f t="array" aca="1" ref="G26" ca="1">_FV(A26,"Open")</f>
        <v>330.37</v>
      </c>
      <c r="H26" s="301" cm="1">
        <f t="array" aca="1" ref="H26" ca="1">_FV(A26,"High")</f>
        <v>339.25</v>
      </c>
      <c r="I26" s="301" cm="1">
        <f t="array" aca="1" ref="I26" ca="1">_FV(A26,"Low")</f>
        <v>328.76</v>
      </c>
      <c r="J26" s="301" cm="1">
        <f t="array" aca="1" ref="J26" ca="1">_FV(A26,"Previous close",TRUE)</f>
        <v>328.37</v>
      </c>
      <c r="K26" s="301" cm="1">
        <f t="array" aca="1" ref="K26" ca="1">_FV(A26,"Price")</f>
        <v>336.73</v>
      </c>
      <c r="L26" s="302" cm="1">
        <f t="array" aca="1" ref="L26" ca="1">_FV(A26,"Change (%)",TRUE)</f>
        <v>2.5458999999999999E-2</v>
      </c>
      <c r="M26" s="301" cm="1">
        <f t="array" aca="1" ref="M26" ca="1">_FV(A26,"Change")</f>
        <v>8.36</v>
      </c>
      <c r="N26" s="301" cm="1">
        <f t="array" aca="1" ref="N26" ca="1">_FV(A26,"52 week high",TRUE)</f>
        <v>606.36</v>
      </c>
      <c r="O26" s="301" cm="1">
        <f t="array" aca="1" ref="O26" ca="1">_FV(A26,"52 week low",TRUE)</f>
        <v>234.6</v>
      </c>
      <c r="P26" s="303" cm="1">
        <f t="array" aca="1" ref="P26" ca="1">_FV(A26,"Market cap",TRUE)</f>
        <v>305023031778</v>
      </c>
    </row>
    <row r="27" spans="1:16" x14ac:dyDescent="0.2">
      <c r="A27" s="255" t="e" vm="18">
        <v>#VALUE!</v>
      </c>
      <c r="B27" s="309" t="s">
        <v>164</v>
      </c>
      <c r="C27" s="299" cm="1">
        <f t="array" aca="1" ref="C27" ca="1">_FV(A27,"Volume average",TRUE)</f>
        <v>127491247</v>
      </c>
      <c r="D27" s="299" cm="1">
        <f t="array" aca="1" ref="D27" ca="1">_FV(A27,"Volume")</f>
        <v>60839785</v>
      </c>
      <c r="E27" s="300" cm="1">
        <f t="array" aca="1" ref="E27" ca="1">_FV(A27,"Beta")</f>
        <v>3.6297999999999999</v>
      </c>
      <c r="F27" s="255"/>
      <c r="G27" s="301" cm="1">
        <f t="array" aca="1" ref="G27" ca="1">_FV(A27,"Open")</f>
        <v>7.05</v>
      </c>
      <c r="H27" s="301" cm="1">
        <f t="array" aca="1" ref="H27" ca="1">_FV(A27,"High")</f>
        <v>7.17</v>
      </c>
      <c r="I27" s="301" cm="1">
        <f t="array" aca="1" ref="I27" ca="1">_FV(A27,"Low")</f>
        <v>6.73</v>
      </c>
      <c r="J27" s="301" cm="1">
        <f t="array" aca="1" ref="J27" ca="1">_FV(A27,"Previous close",TRUE)</f>
        <v>7</v>
      </c>
      <c r="K27" s="301" cm="1">
        <f t="array" aca="1" ref="K27" ca="1">_FV(A27,"Price")</f>
        <v>7.05</v>
      </c>
      <c r="L27" s="302" cm="1">
        <f t="array" aca="1" ref="L27" ca="1">_FV(A27,"Change (%)",TRUE)</f>
        <v>7.143E-3</v>
      </c>
      <c r="M27" s="301" cm="1">
        <f t="array" aca="1" ref="M27" ca="1">_FV(A27,"Change")</f>
        <v>0.05</v>
      </c>
      <c r="N27" s="301" cm="1">
        <f t="array" aca="1" ref="N27" ca="1">_FV(A27,"52 week high",TRUE)</f>
        <v>10.87</v>
      </c>
      <c r="O27" s="301" cm="1">
        <f t="array" aca="1" ref="O27" ca="1">_FV(A27,"52 week low",TRUE)</f>
        <v>0.50839999999999996</v>
      </c>
      <c r="P27" s="303" cm="1">
        <f t="array" aca="1" ref="P27" ca="1">_FV(A27,"Market cap",TRUE)</f>
        <v>6724206105</v>
      </c>
    </row>
    <row r="28" spans="1:16" x14ac:dyDescent="0.2">
      <c r="A28" s="255" t="e" vm="19">
        <v>#VALUE!</v>
      </c>
      <c r="B28" s="310" t="s">
        <v>165</v>
      </c>
      <c r="C28" s="299" cm="1">
        <f t="array" aca="1" ref="C28" ca="1">_FV(A28,"Volume average",TRUE)</f>
        <v>4215181</v>
      </c>
      <c r="D28" s="299" cm="1">
        <f t="array" aca="1" ref="D28" ca="1">_FV(A28,"Volume")</f>
        <v>6197091</v>
      </c>
      <c r="E28" s="300" cm="1">
        <f t="array" aca="1" ref="E28" ca="1">_FV(A28,"Beta")</f>
        <v>1.41</v>
      </c>
      <c r="F28" s="255"/>
      <c r="G28" s="301" cm="1">
        <f t="array" aca="1" ref="G28" ca="1">_FV(A28,"Open")</f>
        <v>162.05000000000001</v>
      </c>
      <c r="H28" s="301" cm="1">
        <f t="array" aca="1" ref="H28" ca="1">_FV(A28,"High")</f>
        <v>174.89</v>
      </c>
      <c r="I28" s="301" cm="1">
        <f t="array" aca="1" ref="I28" ca="1">_FV(A28,"Low")</f>
        <v>161.01</v>
      </c>
      <c r="J28" s="301" cm="1">
        <f t="array" aca="1" ref="J28" ca="1">_FV(A28,"Previous close",TRUE)</f>
        <v>165.17</v>
      </c>
      <c r="K28" s="301" cm="1">
        <f t="array" aca="1" ref="K28" ca="1">_FV(A28,"Price")</f>
        <v>174.63</v>
      </c>
      <c r="L28" s="302" cm="1">
        <f t="array" aca="1" ref="L28" ca="1">_FV(A28,"Change (%)",TRUE)</f>
        <v>5.7274000000000005E-2</v>
      </c>
      <c r="M28" s="301" cm="1">
        <f t="array" aca="1" ref="M28" ca="1">_FV(A28,"Change")</f>
        <v>9.4600000000000009</v>
      </c>
      <c r="N28" s="301" cm="1">
        <f t="array" aca="1" ref="N28" ca="1">_FV(A28,"52 week high",TRUE)</f>
        <v>219.82</v>
      </c>
      <c r="O28" s="301" cm="1">
        <f t="array" aca="1" ref="O28" ca="1">_FV(A28,"52 week low",TRUE)</f>
        <v>90.51</v>
      </c>
      <c r="P28" s="303" cm="1">
        <f t="array" aca="1" ref="P28" ca="1">_FV(A28,"Market cap",TRUE)</f>
        <v>59169097065</v>
      </c>
    </row>
    <row r="29" spans="1:16" x14ac:dyDescent="0.2">
      <c r="A29" s="255" t="e" vm="21">
        <v>#VALUE!</v>
      </c>
      <c r="B29" s="310" t="s">
        <v>167</v>
      </c>
      <c r="C29" s="299" cm="1">
        <f t="array" aca="1" ref="C29" ca="1">_FV(A29,"Volume average",TRUE)</f>
        <v>23172561</v>
      </c>
      <c r="D29" s="299" cm="1">
        <f t="array" aca="1" ref="D29" ca="1">_FV(A29,"Volume")</f>
        <v>45681617</v>
      </c>
      <c r="E29" s="300" cm="1">
        <f t="array" aca="1" ref="E29" ca="1">_FV(A29,"Beta")</f>
        <v>1.2012</v>
      </c>
      <c r="F29" s="255"/>
      <c r="G29" s="301" cm="1">
        <f t="array" aca="1" ref="G29" ca="1">_FV(A29,"Open")</f>
        <v>404.82499999999999</v>
      </c>
      <c r="H29" s="301" cm="1">
        <f t="array" aca="1" ref="H29" ca="1">_FV(A29,"High")</f>
        <v>409.3</v>
      </c>
      <c r="I29" s="301" cm="1">
        <f t="array" aca="1" ref="I29" ca="1">_FV(A29,"Low")</f>
        <v>394.19</v>
      </c>
      <c r="J29" s="301" cm="1">
        <f t="array" aca="1" ref="J29" ca="1">_FV(A29,"Previous close",TRUE)</f>
        <v>412.97</v>
      </c>
      <c r="K29" s="301" cm="1">
        <f t="array" aca="1" ref="K29" ca="1">_FV(A29,"Price")</f>
        <v>406.37</v>
      </c>
      <c r="L29" s="302" cm="1">
        <f t="array" aca="1" ref="L29" ca="1">_FV(A29,"Change (%)",TRUE)</f>
        <v>-1.5982E-2</v>
      </c>
      <c r="M29" s="301" cm="1">
        <f t="array" aca="1" ref="M29" ca="1">_FV(A29,"Change")</f>
        <v>-6.6</v>
      </c>
      <c r="N29" s="301" cm="1">
        <f t="array" aca="1" ref="N29" ca="1">_FV(A29,"52 week high",TRUE)</f>
        <v>414.61</v>
      </c>
      <c r="O29" s="301" cm="1">
        <f t="array" aca="1" ref="O29" ca="1">_FV(A29,"52 week low",TRUE)</f>
        <v>138.1</v>
      </c>
      <c r="P29" s="303" cm="1">
        <f t="array" aca="1" ref="P29" ca="1">_FV(A29,"Market cap",TRUE)</f>
        <v>1919027465050</v>
      </c>
    </row>
    <row r="30" spans="1:16" x14ac:dyDescent="0.2">
      <c r="A30" s="255" t="e" vm="22">
        <v>#VALUE!</v>
      </c>
      <c r="B30" s="310" t="s">
        <v>168</v>
      </c>
      <c r="C30" s="299" cm="1">
        <f t="array" aca="1" ref="C30" ca="1">_FV(A30,"Volume average",TRUE)</f>
        <v>11748747</v>
      </c>
      <c r="D30" s="299" cm="1">
        <f t="array" aca="1" ref="D30" ca="1">_FV(A30,"Volume")</f>
        <v>15028375</v>
      </c>
      <c r="E30" s="300" cm="1">
        <f t="array" aca="1" ref="E30" ca="1">_FV(A30,"Beta")</f>
        <v>1.2935000000000001</v>
      </c>
      <c r="F30" s="255"/>
      <c r="G30" s="301" cm="1">
        <f t="array" aca="1" ref="G30" ca="1">_FV(A30,"Open")</f>
        <v>305.32</v>
      </c>
      <c r="H30" s="301" cm="1">
        <f t="array" aca="1" ref="H30" ca="1">_FV(A30,"High")</f>
        <v>305.83999999999997</v>
      </c>
      <c r="I30" s="301" cm="1">
        <f t="array" aca="1" ref="I30" ca="1">_FV(A30,"Low")</f>
        <v>299.64</v>
      </c>
      <c r="J30" s="301" cm="1">
        <f t="array" aca="1" ref="J30" ca="1">_FV(A30,"Previous close",TRUE)</f>
        <v>309.34300000000002</v>
      </c>
      <c r="K30" s="301" cm="1">
        <f t="array" aca="1" ref="K30" ca="1">_FV(A30,"Price")</f>
        <v>304.85000000000002</v>
      </c>
      <c r="L30" s="302" cm="1">
        <f t="array" aca="1" ref="L30" ca="1">_FV(A30,"Change (%)",TRUE)</f>
        <v>-1.4523999999999999E-2</v>
      </c>
      <c r="M30" s="301" cm="1">
        <f t="array" aca="1" ref="M30" ca="1">_FV(A30,"Change")</f>
        <v>-4.4930000000000003</v>
      </c>
      <c r="N30" s="301" cm="1">
        <f t="array" aca="1" ref="N30" ca="1">_FV(A30,"52 week high",TRUE)</f>
        <v>313.98</v>
      </c>
      <c r="O30" s="301" cm="1">
        <f t="array" aca="1" ref="O30" ca="1">_FV(A30,"52 week low",TRUE)</f>
        <v>134.25</v>
      </c>
      <c r="P30" s="303" cm="1">
        <f t="array" aca="1" ref="P30" ca="1">_FV(A30,"Market cap",TRUE)</f>
        <v>1253886000000</v>
      </c>
    </row>
    <row r="31" spans="1:16" x14ac:dyDescent="0.2">
      <c r="A31" s="255" t="e" vm="23">
        <v>#VALUE!</v>
      </c>
      <c r="B31" s="310" t="s">
        <v>169</v>
      </c>
      <c r="C31" s="299" cm="1">
        <f t="array" aca="1" ref="C31" ca="1">_FV(A31,"Volume average",TRUE)</f>
        <v>8736723</v>
      </c>
      <c r="D31" s="299" cm="1">
        <f t="array" aca="1" ref="D31" ca="1">_FV(A31,"Volume")</f>
        <v>6679540</v>
      </c>
      <c r="E31" s="300" cm="1">
        <f t="array" aca="1" ref="E31" ca="1">_FV(A31,"Beta")</f>
        <v>1.4119999999999999</v>
      </c>
      <c r="F31" s="255"/>
      <c r="G31" s="301" cm="1">
        <f t="array" aca="1" ref="G31" ca="1">_FV(A31,"Open")</f>
        <v>135.53</v>
      </c>
      <c r="H31" s="301" cm="1">
        <f t="array" aca="1" ref="H31" ca="1">_FV(A31,"High")</f>
        <v>136.4</v>
      </c>
      <c r="I31" s="301" cm="1">
        <f t="array" aca="1" ref="I31" ca="1">_FV(A31,"Low")</f>
        <v>128.94999999999999</v>
      </c>
      <c r="J31" s="301" cm="1">
        <f t="array" aca="1" ref="J31" ca="1">_FV(A31,"Previous close",TRUE)</f>
        <v>132.36000000000001</v>
      </c>
      <c r="K31" s="301" cm="1">
        <f t="array" aca="1" ref="K31" ca="1">_FV(A31,"Price")</f>
        <v>134.38999999999999</v>
      </c>
      <c r="L31" s="302" cm="1">
        <f t="array" aca="1" ref="L31" ca="1">_FV(A31,"Change (%)",TRUE)</f>
        <v>1.5337E-2</v>
      </c>
      <c r="M31" s="301" cm="1">
        <f t="array" aca="1" ref="M31" ca="1">_FV(A31,"Change")</f>
        <v>2.0299999999999998</v>
      </c>
      <c r="N31" s="301" cm="1">
        <f t="array" aca="1" ref="N31" ca="1">_FV(A31,"52 week high",TRUE)</f>
        <v>164.94</v>
      </c>
      <c r="O31" s="301" cm="1">
        <f t="array" aca="1" ref="O31" ca="1">_FV(A31,"52 week low",TRUE)</f>
        <v>59.43</v>
      </c>
      <c r="P31" s="303" cm="1">
        <f t="array" aca="1" ref="P31" ca="1">_FV(A31,"Market cap",TRUE)</f>
        <v>169235311149</v>
      </c>
    </row>
    <row r="32" spans="1:16" x14ac:dyDescent="0.2">
      <c r="A32" s="255" t="e" vm="49">
        <v>#VALUE!</v>
      </c>
      <c r="B32" s="310" t="s">
        <v>306</v>
      </c>
      <c r="C32" s="299" cm="1">
        <f t="array" aca="1" ref="C32" ca="1">_FV(A32,"Volume average",TRUE)</f>
        <v>17121790</v>
      </c>
      <c r="D32" s="299" cm="1">
        <f t="array" aca="1" ref="D32" ca="1">_FV(A32,"Volume")</f>
        <v>23124157</v>
      </c>
      <c r="E32" s="300" cm="1">
        <f t="array" aca="1" ref="E32" ca="1">_FV(A32,"Beta")</f>
        <v>0.3846</v>
      </c>
      <c r="F32" s="255"/>
      <c r="G32" s="301" cm="1">
        <f t="array" aca="1" ref="G32" ca="1">_FV(A32,"Open")</f>
        <v>70.55</v>
      </c>
      <c r="H32" s="301" cm="1">
        <f t="array" aca="1" ref="H32" ca="1">_FV(A32,"High")</f>
        <v>70.69</v>
      </c>
      <c r="I32" s="301" cm="1">
        <f t="array" aca="1" ref="I32" ca="1">_FV(A32,"Low")</f>
        <v>68.790000000000006</v>
      </c>
      <c r="J32" s="301" cm="1">
        <f t="array" aca="1" ref="J32" ca="1">_FV(A32,"Previous close",TRUE)</f>
        <v>70.209999999999994</v>
      </c>
      <c r="K32" s="301" cm="1">
        <f t="array" aca="1" ref="K32" ca="1">_FV(A32,"Price")</f>
        <v>69.11</v>
      </c>
      <c r="L32" s="302" cm="1">
        <f t="array" aca="1" ref="L32" ca="1">_FV(A32,"Change (%)",TRUE)</f>
        <v>-1.5667E-2</v>
      </c>
      <c r="M32" s="301" cm="1">
        <f t="array" aca="1" ref="M32" ca="1">_FV(A32,"Change")</f>
        <v>-1.1000000000000001</v>
      </c>
      <c r="N32" s="301" cm="1">
        <f t="array" aca="1" ref="N32" ca="1">_FV(A32,"52 week high",TRUE)</f>
        <v>74.38</v>
      </c>
      <c r="O32" s="301" cm="1">
        <f t="array" aca="1" ref="O32" ca="1">_FV(A32,"52 week low",TRUE)</f>
        <v>60.615000000000002</v>
      </c>
      <c r="P32" s="303" cm="1">
        <f t="array" aca="1" ref="P32" ca="1">_FV(A32,"Market cap",TRUE)</f>
        <v>297284197990</v>
      </c>
    </row>
    <row r="33" spans="1:16" x14ac:dyDescent="0.2">
      <c r="A33" s="255" t="e" vm="14">
        <v>#VALUE!</v>
      </c>
      <c r="B33" s="310" t="s">
        <v>160</v>
      </c>
      <c r="C33" s="299" cm="1">
        <f t="array" aca="1" ref="C33" ca="1">_FV(A33,"Volume average",TRUE)</f>
        <v>25901622</v>
      </c>
      <c r="D33" s="299" cm="1">
        <f t="array" aca="1" ref="D33" ca="1">_FV(A33,"Volume")</f>
        <v>21894995</v>
      </c>
      <c r="E33" s="300" cm="1">
        <f t="array" aca="1" ref="E33" ca="1">_FV(A33,"Beta")</f>
        <v>0.32829999999999998</v>
      </c>
      <c r="F33" s="255"/>
      <c r="G33" s="301" cm="1">
        <f t="array" aca="1" ref="G33" ca="1">_FV(A33,"Open")</f>
        <v>40</v>
      </c>
      <c r="H33" s="301" cm="1">
        <f t="array" aca="1" ref="H33" ca="1">_FV(A33,"High")</f>
        <v>40.549999999999997</v>
      </c>
      <c r="I33" s="301" cm="1">
        <f t="array" aca="1" ref="I33" ca="1">_FV(A33,"Low")</f>
        <v>39.97</v>
      </c>
      <c r="J33" s="301" cm="1">
        <f t="array" aca="1" ref="J33" ca="1">_FV(A33,"Previous close",TRUE)</f>
        <v>39.92</v>
      </c>
      <c r="K33" s="301" cm="1">
        <f t="array" aca="1" ref="K33" ca="1">_FV(A33,"Price")</f>
        <v>40.22</v>
      </c>
      <c r="L33" s="302" cm="1">
        <f t="array" aca="1" ref="L33" ca="1">_FV(A33,"Change (%)",TRUE)</f>
        <v>7.5149999999999991E-3</v>
      </c>
      <c r="M33" s="301" cm="1">
        <f t="array" aca="1" ref="M33" ca="1">_FV(A33,"Change")</f>
        <v>0.3</v>
      </c>
      <c r="N33" s="301" cm="1">
        <f t="array" aca="1" ref="N33" ca="1">_FV(A33,"52 week high",TRUE)</f>
        <v>47.354999999999997</v>
      </c>
      <c r="O33" s="301" cm="1">
        <f t="array" aca="1" ref="O33" ca="1">_FV(A33,"52 week low",TRUE)</f>
        <v>37.585000000000001</v>
      </c>
      <c r="P33" s="303" cm="1">
        <f t="array" aca="1" ref="P33" ca="1">_FV(A33,"Market cap",TRUE)</f>
        <v>169584613500</v>
      </c>
    </row>
    <row r="34" spans="1:16" x14ac:dyDescent="0.2">
      <c r="A34" s="311" t="e" vm="24">
        <v>#VALUE!</v>
      </c>
      <c r="B34" s="312" t="s">
        <v>187</v>
      </c>
      <c r="C34" s="299" cm="1">
        <f t="array" aca="1" ref="C34" ca="1">_FV(A34,"Volume average",TRUE)</f>
        <v>5009311</v>
      </c>
      <c r="D34" s="299" cm="1">
        <f t="array" aca="1" ref="D34" ca="1">_FV(A34,"Volume")</f>
        <v>4011136</v>
      </c>
      <c r="E34" s="300" cm="1">
        <f t="array" aca="1" ref="E34" ca="1">_FV(A34,"Beta")</f>
        <v>0.50629999999999997</v>
      </c>
      <c r="F34" s="255"/>
      <c r="G34" s="301" cm="1">
        <f t="array" aca="1" ref="G34" ca="1">_FV(A34,"Open")</f>
        <v>57.38</v>
      </c>
      <c r="H34" s="301" cm="1">
        <f t="array" aca="1" ref="H34" ca="1">_FV(A34,"High")</f>
        <v>57.8</v>
      </c>
      <c r="I34" s="301" cm="1">
        <f t="array" aca="1" ref="I34" ca="1">_FV(A34,"Low")</f>
        <v>57.38</v>
      </c>
      <c r="J34" s="301" cm="1">
        <f t="array" aca="1" ref="J34" ca="1">_FV(A34,"Previous close",TRUE)</f>
        <v>57.41</v>
      </c>
      <c r="K34" s="301" cm="1">
        <f t="array" aca="1" ref="K34" ca="1">_FV(A34,"Price")</f>
        <v>57.79</v>
      </c>
      <c r="L34" s="302" cm="1">
        <f t="array" aca="1" ref="L34" ca="1">_FV(A34,"Change (%)",TRUE)</f>
        <v>6.6190000000000008E-3</v>
      </c>
      <c r="M34" s="301" cm="1">
        <f t="array" aca="1" ref="M34" ca="1">_FV(A34,"Change")</f>
        <v>0.38</v>
      </c>
      <c r="N34" s="301" cm="1">
        <f t="array" aca="1" ref="N34" ca="1">_FV(A34,"52 week high",TRUE)</f>
        <v>59.859699999999997</v>
      </c>
      <c r="O34" s="301" cm="1">
        <f t="array" aca="1" ref="O34" ca="1">_FV(A34,"52 week low",TRUE)</f>
        <v>49.94</v>
      </c>
      <c r="P34" s="303" cm="1">
        <f t="array" aca="1" ref="P34" ca="1">_FV(A34,"Market cap",TRUE)</f>
        <v>41516792356.400002</v>
      </c>
    </row>
    <row r="35" spans="1:16" x14ac:dyDescent="0.2">
      <c r="A35" s="313" t="e" vm="25">
        <v>#VALUE!</v>
      </c>
      <c r="B35" s="312" t="s">
        <v>380</v>
      </c>
      <c r="C35" s="299" cm="1">
        <f t="array" aca="1" ref="C35" ca="1">_FV(A35,"Volume average",TRUE)</f>
        <v>41019354</v>
      </c>
      <c r="D35" s="299" cm="1">
        <f t="array" aca="1" ref="D35" ca="1">_FV(A35,"Volume")</f>
        <v>26514583</v>
      </c>
      <c r="E35" s="300" cm="1">
        <f t="array" aca="1" ref="E35" ca="1">_FV(A35,"Beta")</f>
        <v>4.2462</v>
      </c>
      <c r="F35" s="255"/>
      <c r="G35" s="301" cm="1">
        <f t="array" aca="1" ref="G35" ca="1">_FV(A35,"Open")</f>
        <v>43.12</v>
      </c>
      <c r="H35" s="301" cm="1">
        <f t="array" aca="1" ref="H35" ca="1">_FV(A35,"High")</f>
        <v>44.04</v>
      </c>
      <c r="I35" s="301" cm="1">
        <f t="array" aca="1" ref="I35" ca="1">_FV(A35,"Low")</f>
        <v>40.86</v>
      </c>
      <c r="J35" s="301"/>
      <c r="K35" s="301" cm="1">
        <f t="array" aca="1" ref="K35" ca="1">_FV(A35,"Price")</f>
        <v>43.94</v>
      </c>
      <c r="L35" s="302" cm="1">
        <f t="array" aca="1" ref="L35" ca="1">_FV(A35,"Change (%)",TRUE)</f>
        <v>4.5539999999999996E-4</v>
      </c>
      <c r="M35" s="301" cm="1">
        <f t="array" aca="1" ref="M35" ca="1">_FV(A35,"Change")</f>
        <v>0.02</v>
      </c>
      <c r="N35" s="301" cm="1">
        <f t="array" aca="1" ref="N35" ca="1">_FV(A35,"52 week high",TRUE)</f>
        <v>76.87</v>
      </c>
      <c r="O35" s="301" cm="1">
        <f t="array" aca="1" ref="O35" ca="1">_FV(A35,"52 week low",TRUE)</f>
        <v>5.125</v>
      </c>
      <c r="P35" s="303" cm="1">
        <f t="array" aca="1" ref="P35" ca="1">_FV(A35,"Market cap",TRUE)</f>
        <v>12682955844</v>
      </c>
    </row>
    <row r="36" spans="1:16" x14ac:dyDescent="0.2">
      <c r="A36" s="313" t="e" vm="27">
        <v>#VALUE!</v>
      </c>
      <c r="B36" s="312" t="s">
        <v>382</v>
      </c>
      <c r="C36" s="299" cm="1">
        <f t="array" aca="1" ref="C36" ca="1">_FV(A36,"Volume average",TRUE)</f>
        <v>4565469</v>
      </c>
      <c r="D36" s="299" cm="1">
        <f t="array" aca="1" ref="D36" ca="1">_FV(A36,"Volume")</f>
        <v>3575240</v>
      </c>
      <c r="E36" s="300" cm="1">
        <f t="array" aca="1" ref="E36" ca="1">_FV(A36,"Beta")</f>
        <v>2.5049999999999999</v>
      </c>
      <c r="F36" s="255"/>
      <c r="G36" s="301" cm="1">
        <f t="array" aca="1" ref="G36" ca="1">_FV(A36,"Open")</f>
        <v>697</v>
      </c>
      <c r="H36" s="301" cm="1">
        <f t="array" aca="1" ref="H36" ca="1">_FV(A36,"High")</f>
        <v>723.49</v>
      </c>
      <c r="I36" s="301" cm="1">
        <f t="array" aca="1" ref="I36" ca="1">_FV(A36,"Low")</f>
        <v>696</v>
      </c>
      <c r="J36" s="301" cm="1">
        <f t="array" aca="1" ref="J36" ca="1">_FV(A36,"Previous close",TRUE)</f>
        <v>703.28</v>
      </c>
      <c r="K36" s="301" cm="1">
        <f t="array" aca="1" ref="K36" ca="1">_FV(A36,"Price")</f>
        <v>716.98</v>
      </c>
      <c r="L36" s="302" cm="1">
        <f t="array" aca="1" ref="L36" ca="1">_FV(A36,"Change (%)",TRUE)</f>
        <v>1.9480000000000001E-2</v>
      </c>
      <c r="M36" s="301" cm="1">
        <f t="array" aca="1" ref="M36" ca="1">_FV(A36,"Change")</f>
        <v>13.7</v>
      </c>
      <c r="N36" s="301" cm="1">
        <f t="array" aca="1" ref="N36" ca="1">_FV(A36,"52 week high",TRUE)</f>
        <v>745.61</v>
      </c>
      <c r="O36" s="301" cm="1">
        <f t="array" aca="1" ref="O36" ca="1">_FV(A36,"52 week low",TRUE)</f>
        <v>200.5</v>
      </c>
      <c r="P36" s="303" cm="1">
        <f t="array" aca="1" ref="P36" ca="1">_FV(A36,"Market cap",TRUE)</f>
        <v>242306975900</v>
      </c>
    </row>
    <row r="37" spans="1:16" x14ac:dyDescent="0.2">
      <c r="A37" s="313" t="e" vm="28">
        <v>#VALUE!</v>
      </c>
      <c r="B37" s="312" t="s">
        <v>383</v>
      </c>
      <c r="C37" s="299" cm="1">
        <f t="array" aca="1" ref="C37" ca="1">_FV(A37,"Volume average",TRUE)</f>
        <v>8632517</v>
      </c>
      <c r="D37" s="299" cm="1">
        <f t="array" aca="1" ref="D37" ca="1">_FV(A37,"Volume")</f>
        <v>13195659</v>
      </c>
      <c r="E37" s="300" cm="1">
        <f t="array" aca="1" ref="E37" ca="1">_FV(A37,"Beta")</f>
        <v>0.82969999999999999</v>
      </c>
      <c r="F37" s="255"/>
      <c r="G37" s="301" cm="1">
        <f t="array" aca="1" ref="G37" ca="1">_FV(A37,"Open")</f>
        <v>79.67</v>
      </c>
      <c r="H37" s="301" cm="1">
        <f t="array" aca="1" ref="H37" ca="1">_FV(A37,"High")</f>
        <v>80.709900000000005</v>
      </c>
      <c r="I37" s="301" cm="1">
        <f t="array" aca="1" ref="I37" ca="1">_FV(A37,"Low")</f>
        <v>79.570099999999996</v>
      </c>
      <c r="J37" s="301" cm="1">
        <f t="array" aca="1" ref="J37" ca="1">_FV(A37,"Previous close",TRUE)</f>
        <v>79.67</v>
      </c>
      <c r="K37" s="301" cm="1">
        <f t="array" aca="1" ref="K37" ca="1">_FV(A37,"Price")</f>
        <v>80.540000000000006</v>
      </c>
      <c r="L37" s="302" cm="1">
        <f t="array" aca="1" ref="L37" ca="1">_FV(A37,"Change (%)",TRUE)</f>
        <v>1.0920000000000001E-2</v>
      </c>
      <c r="M37" s="301" cm="1">
        <f t="array" aca="1" ref="M37" ca="1">_FV(A37,"Change")</f>
        <v>0.87</v>
      </c>
      <c r="N37" s="301" cm="1">
        <f t="array" aca="1" ref="N37" ca="1">_FV(A37,"52 week high",TRUE)</f>
        <v>82.55</v>
      </c>
      <c r="O37" s="301" cm="1">
        <f t="array" aca="1" ref="O37" ca="1">_FV(A37,"52 week low",TRUE)</f>
        <v>48.825000000000003</v>
      </c>
      <c r="P37" s="303" cm="1">
        <f t="array" aca="1" ref="P37" ca="1">_FV(A37,"Market cap",TRUE)</f>
        <v>65205794852.510002</v>
      </c>
    </row>
    <row r="38" spans="1:16" x14ac:dyDescent="0.2">
      <c r="A38" s="313" t="e" vm="29">
        <v>#VALUE!</v>
      </c>
      <c r="B38" s="312" t="s">
        <v>310</v>
      </c>
      <c r="C38" s="299" cm="1">
        <f t="array" aca="1" ref="C38" ca="1">_FV(A38,"Volume average",TRUE)</f>
        <v>520925</v>
      </c>
      <c r="D38" s="299" cm="1">
        <f t="array" aca="1" ref="D38" ca="1">_FV(A38,"Volume")</f>
        <v>438865</v>
      </c>
      <c r="E38" s="300" cm="1">
        <f t="array" aca="1" ref="E38" ca="1">_FV(A38,"Beta")</f>
        <v>1.6546000000000001</v>
      </c>
      <c r="F38" s="255"/>
      <c r="G38" s="301" cm="1">
        <f t="array" aca="1" ref="G38" ca="1">_FV(A38,"Open")</f>
        <v>1016.395</v>
      </c>
      <c r="H38" s="301" cm="1">
        <f t="array" aca="1" ref="H38" ca="1">_FV(A38,"High")</f>
        <v>1025.4000000000001</v>
      </c>
      <c r="I38" s="301" cm="1">
        <f t="array" aca="1" ref="I38" ca="1">_FV(A38,"Low")</f>
        <v>975.05</v>
      </c>
      <c r="J38" s="301" cm="1">
        <f t="array" aca="1" ref="J38" ca="1">_FV(A38,"Previous close",TRUE)</f>
        <v>1021.36</v>
      </c>
      <c r="K38" s="301" cm="1">
        <f t="array" aca="1" ref="K38" ca="1">_FV(A38,"Price")</f>
        <v>1024.92</v>
      </c>
      <c r="L38" s="302" cm="1">
        <f t="array" aca="1" ref="L38" ca="1">_FV(A38,"Change (%)",TRUE)</f>
        <v>3.4860000000000004E-3</v>
      </c>
      <c r="M38" s="301" cm="1">
        <f t="array" aca="1" ref="M38" ca="1">_FV(A38,"Change")</f>
        <v>3.56</v>
      </c>
      <c r="N38" s="301" cm="1">
        <f t="array" aca="1" ref="N38" ca="1">_FV(A38,"52 week high",TRUE)</f>
        <v>1036.665</v>
      </c>
      <c r="O38" s="301" cm="1">
        <f t="array" aca="1" ref="O38" ca="1">_FV(A38,"52 week low",TRUE)</f>
        <v>276.44</v>
      </c>
      <c r="P38" s="303" cm="1">
        <f t="array" aca="1" ref="P38" ca="1">_FV(A38,"Market cap",TRUE)</f>
        <v>36150926994</v>
      </c>
    </row>
    <row r="39" spans="1:16" x14ac:dyDescent="0.2">
      <c r="A39" s="313" t="e" vm="30">
        <v>#VALUE!</v>
      </c>
      <c r="B39" s="312" t="s">
        <v>384</v>
      </c>
      <c r="C39" s="299" cm="1">
        <f t="array" aca="1" ref="C39" ca="1">_FV(A39,"Volume average",TRUE)</f>
        <v>2520026</v>
      </c>
      <c r="D39" s="299" cm="1">
        <f t="array" aca="1" ref="D39" ca="1">_FV(A39,"Volume")</f>
        <v>2976229</v>
      </c>
      <c r="E39" s="300" cm="1">
        <f t="array" aca="1" ref="E39" ca="1">_FV(A39,"Beta")</f>
        <v>1.1532</v>
      </c>
      <c r="F39" s="255"/>
      <c r="G39" s="301" cm="1">
        <f t="array" aca="1" ref="G39" ca="1">_FV(A39,"Open")</f>
        <v>376.5</v>
      </c>
      <c r="H39" s="301" cm="1">
        <f t="array" aca="1" ref="H39" ca="1">_FV(A39,"High")</f>
        <v>385.92</v>
      </c>
      <c r="I39" s="301" cm="1">
        <f t="array" aca="1" ref="I39" ca="1">_FV(A39,"Low")</f>
        <v>375.6</v>
      </c>
      <c r="J39" s="301" cm="1">
        <f t="array" aca="1" ref="J39" ca="1">_FV(A39,"Previous close",TRUE)</f>
        <v>375.57</v>
      </c>
      <c r="K39" s="301" cm="1">
        <f t="array" aca="1" ref="K39" ca="1">_FV(A39,"Price")</f>
        <v>384.89</v>
      </c>
      <c r="L39" s="302" cm="1">
        <f t="array" aca="1" ref="L39" ca="1">_FV(A39,"Change (%)",TRUE)</f>
        <v>2.4815999999999998E-2</v>
      </c>
      <c r="M39" s="301" cm="1">
        <f t="array" aca="1" ref="M39" ca="1">_FV(A39,"Change")</f>
        <v>9.32</v>
      </c>
      <c r="N39" s="301" cm="1">
        <f t="array" aca="1" ref="N39" ca="1">_FV(A39,"52 week high",TRUE)</f>
        <v>385.92</v>
      </c>
      <c r="O39" s="301" cm="1">
        <f t="array" aca="1" ref="O39" ca="1">_FV(A39,"52 week low",TRUE)</f>
        <v>220.43</v>
      </c>
      <c r="P39" s="303" cm="1">
        <f t="array" aca="1" ref="P39" ca="1">_FV(A39,"Market cap",TRUE)</f>
        <v>265132092324</v>
      </c>
    </row>
    <row r="40" spans="1:16" x14ac:dyDescent="0.2">
      <c r="A40" s="313" t="e" vm="31">
        <v>#VALUE!</v>
      </c>
      <c r="B40" s="312" t="s">
        <v>385</v>
      </c>
      <c r="C40" s="299" cm="1">
        <f t="array" aca="1" ref="C40" ca="1">_FV(A40,"Volume average",TRUE)</f>
        <v>3062549</v>
      </c>
      <c r="D40" s="299" cm="1">
        <f t="array" aca="1" ref="D40" ca="1">_FV(A40,"Volume")</f>
        <v>2890387</v>
      </c>
      <c r="E40" s="300" cm="1">
        <f t="array" aca="1" ref="E40" ca="1">_FV(A40,"Beta")</f>
        <v>1.4722</v>
      </c>
      <c r="F40" s="255"/>
      <c r="G40" s="301" cm="1">
        <f t="array" aca="1" ref="G40" ca="1">_FV(A40,"Open")</f>
        <v>341.53</v>
      </c>
      <c r="H40" s="301" cm="1">
        <f t="array" aca="1" ref="H40" ca="1">_FV(A40,"High")</f>
        <v>351.83</v>
      </c>
      <c r="I40" s="301" cm="1">
        <f t="array" aca="1" ref="I40" ca="1">_FV(A40,"Low")</f>
        <v>327</v>
      </c>
      <c r="J40" s="301" cm="1">
        <f t="array" aca="1" ref="J40" ca="1">_FV(A40,"Previous close",TRUE)</f>
        <v>348.66</v>
      </c>
      <c r="K40" s="301" cm="1">
        <f t="array" aca="1" ref="K40" ca="1">_FV(A40,"Price")</f>
        <v>351.41</v>
      </c>
      <c r="L40" s="302" cm="1">
        <f t="array" aca="1" ref="L40" ca="1">_FV(A40,"Change (%)",TRUE)</f>
        <v>7.8869999999999999E-3</v>
      </c>
      <c r="M40" s="301" cm="1">
        <f t="array" aca="1" ref="M40" ca="1">_FV(A40,"Change")</f>
        <v>2.75</v>
      </c>
      <c r="N40" s="301" cm="1">
        <f t="array" aca="1" ref="N40" ca="1">_FV(A40,"52 week high",TRUE)</f>
        <v>363.4</v>
      </c>
      <c r="O40" s="301" cm="1">
        <f t="array" aca="1" ref="O40" ca="1">_FV(A40,"52 week low",TRUE)</f>
        <v>58.05</v>
      </c>
      <c r="P40" s="303" cm="1">
        <f t="array" aca="1" ref="P40" ca="1">_FV(A40,"Market cap",TRUE)</f>
        <v>55395880000</v>
      </c>
    </row>
    <row r="41" spans="1:16" x14ac:dyDescent="0.2">
      <c r="A41" s="313" t="e" vm="32">
        <v>#VALUE!</v>
      </c>
      <c r="B41" s="312" t="s">
        <v>311</v>
      </c>
      <c r="C41" s="299" cm="1">
        <f t="array" aca="1" ref="C41" ca="1">_FV(A41,"Volume average",TRUE)</f>
        <v>199332</v>
      </c>
      <c r="D41" s="299" cm="1">
        <f t="array" aca="1" ref="D41" ca="1">_FV(A41,"Volume")</f>
        <v>751701</v>
      </c>
      <c r="E41" s="300" cm="1">
        <f t="array" aca="1" ref="E41" ca="1">_FV(A41,"Beta")</f>
        <v>1.2871999999999999</v>
      </c>
      <c r="F41" s="255"/>
      <c r="G41" s="301" cm="1">
        <f t="array" aca="1" ref="G41" ca="1">_FV(A41,"Open")</f>
        <v>142.68</v>
      </c>
      <c r="H41" s="301" cm="1">
        <f t="array" aca="1" ref="H41" ca="1">_FV(A41,"High")</f>
        <v>161.29</v>
      </c>
      <c r="I41" s="301" cm="1">
        <f t="array" aca="1" ref="I41" ca="1">_FV(A41,"Low")</f>
        <v>142.47499999999999</v>
      </c>
      <c r="J41" s="301" cm="1">
        <f t="array" aca="1" ref="J41" ca="1">_FV(A41,"Previous close",TRUE)</f>
        <v>141.4</v>
      </c>
      <c r="K41" s="301" cm="1">
        <f t="array" aca="1" ref="K41" ca="1">_FV(A41,"Price")</f>
        <v>157.91999999999999</v>
      </c>
      <c r="L41" s="302" cm="1">
        <f t="array" aca="1" ref="L41" ca="1">_FV(A41,"Change (%)",TRUE)</f>
        <v>0.11683199999999999</v>
      </c>
      <c r="M41" s="301" cm="1">
        <f t="array" aca="1" ref="M41" ca="1">_FV(A41,"Change")</f>
        <v>16.52</v>
      </c>
      <c r="N41" s="301" cm="1">
        <f t="array" aca="1" ref="N41" ca="1">_FV(A41,"52 week high",TRUE)</f>
        <v>161.29</v>
      </c>
      <c r="O41" s="301" cm="1">
        <f t="array" aca="1" ref="O41" ca="1">_FV(A41,"52 week low",TRUE)</f>
        <v>79.406999999999996</v>
      </c>
      <c r="P41" s="303" cm="1">
        <f t="array" aca="1" ref="P41" ca="1">_FV(A41,"Market cap",TRUE)</f>
        <v>3916665513</v>
      </c>
    </row>
    <row r="42" spans="1:16" x14ac:dyDescent="0.2">
      <c r="A42" s="313" t="e" vm="33">
        <v>#VALUE!</v>
      </c>
      <c r="B42" s="312" t="s">
        <v>386</v>
      </c>
      <c r="C42" s="299" cm="1">
        <f t="array" aca="1" ref="C42" ca="1">_FV(A42,"Volume average",TRUE)</f>
        <v>869882</v>
      </c>
      <c r="D42" s="299" cm="1">
        <f t="array" aca="1" ref="D42" ca="1">_FV(A42,"Volume")</f>
        <v>527091</v>
      </c>
      <c r="E42" s="300" cm="1">
        <f t="array" aca="1" ref="E42" ca="1">_FV(A42,"Beta")</f>
        <v>1.4805999999999999</v>
      </c>
      <c r="F42" s="255"/>
      <c r="G42" s="301" cm="1">
        <f t="array" aca="1" ref="G42" ca="1">_FV(A42,"Open")</f>
        <v>329.68</v>
      </c>
      <c r="H42" s="301" cm="1">
        <f t="array" aca="1" ref="H42" ca="1">_FV(A42,"High")</f>
        <v>343.8</v>
      </c>
      <c r="I42" s="301" cm="1">
        <f t="array" aca="1" ref="I42" ca="1">_FV(A42,"Low")</f>
        <v>321.69</v>
      </c>
      <c r="J42" s="301" cm="1">
        <f t="array" aca="1" ref="J42" ca="1">_FV(A42,"Previous close",TRUE)</f>
        <v>331.61</v>
      </c>
      <c r="K42" s="301" cm="1">
        <f t="array" aca="1" ref="K42" ca="1">_FV(A42,"Price")</f>
        <v>340.51</v>
      </c>
      <c r="L42" s="302" cm="1">
        <f t="array" aca="1" ref="L42" ca="1">_FV(A42,"Change (%)",TRUE)</f>
        <v>2.6838999999999998E-2</v>
      </c>
      <c r="M42" s="301" cm="1">
        <f t="array" aca="1" ref="M42" ca="1">_FV(A42,"Change")</f>
        <v>8.9</v>
      </c>
      <c r="N42" s="301" cm="1">
        <f t="array" aca="1" ref="N42" ca="1">_FV(A42,"52 week high",TRUE)</f>
        <v>419.14</v>
      </c>
      <c r="O42" s="301" cm="1">
        <f t="array" aca="1" ref="O42" ca="1">_FV(A42,"52 week low",TRUE)</f>
        <v>96.34</v>
      </c>
      <c r="P42" s="303" cm="1">
        <f t="array" aca="1" ref="P42" ca="1">_FV(A42,"Market cap",TRUE)</f>
        <v>10460252678</v>
      </c>
    </row>
    <row r="43" spans="1:16" x14ac:dyDescent="0.2">
      <c r="A43" s="313" t="e" vm="34">
        <v>#VALUE!</v>
      </c>
      <c r="B43" s="312" t="s">
        <v>391</v>
      </c>
      <c r="C43" s="299" cm="1">
        <f t="array" aca="1" ref="C43" ca="1">_FV(A43,"Volume average",TRUE)</f>
        <v>3241100</v>
      </c>
      <c r="D43" s="299" cm="1">
        <f t="array" aca="1" ref="D43" ca="1">_FV(A43,"Volume")</f>
        <v>36801</v>
      </c>
      <c r="E43" s="300" cm="1">
        <f t="array" aca="1" ref="E43" ca="1">_FV(A43,"Beta")</f>
        <v>1.1412</v>
      </c>
      <c r="F43" s="255"/>
      <c r="G43" s="301" cm="1">
        <f t="array" aca="1" ref="G43" ca="1">_FV(A43,"Open")</f>
        <v>31.94</v>
      </c>
      <c r="H43" s="301" cm="1">
        <f t="array" aca="1" ref="H43" ca="1">_FV(A43,"High")</f>
        <v>32.9</v>
      </c>
      <c r="I43" s="301" cm="1">
        <f t="array" aca="1" ref="I43" ca="1">_FV(A43,"Low")</f>
        <v>31.94</v>
      </c>
      <c r="J43" s="301" cm="1">
        <f t="array" aca="1" ref="J43" ca="1">_FV(A43,"Previous close",TRUE)</f>
        <v>32.200000000000003</v>
      </c>
      <c r="K43" s="301" cm="1">
        <f t="array" aca="1" ref="K43" ca="1">_FV(A43,"Price")</f>
        <v>32.83</v>
      </c>
      <c r="L43" s="302" cm="1">
        <f t="array" aca="1" ref="L43" ca="1">_FV(A43,"Change (%)",TRUE)</f>
        <v>1.9720000000000001E-2</v>
      </c>
      <c r="M43" s="301" cm="1">
        <f t="array" aca="1" ref="M43" ca="1">_FV(A43,"Change")</f>
        <v>0.63500000000000001</v>
      </c>
      <c r="N43" s="301" cm="1">
        <f t="array" aca="1" ref="N43" ca="1">_FV(A43,"52 week high",TRUE)</f>
        <v>33.5</v>
      </c>
      <c r="O43" s="301" cm="1">
        <f t="array" aca="1" ref="O43" ca="1">_FV(A43,"52 week low",TRUE)</f>
        <v>4.468</v>
      </c>
      <c r="P43" s="303" cm="1">
        <f t="array" aca="1" ref="P43" ca="1">_FV(A43,"Market cap",TRUE)</f>
        <v>62353830000</v>
      </c>
    </row>
    <row r="44" spans="1:16" x14ac:dyDescent="0.2">
      <c r="A44" s="313" t="e" vm="35">
        <v>#VALUE!</v>
      </c>
      <c r="B44" s="312" t="s">
        <v>387</v>
      </c>
      <c r="C44" s="299" cm="1">
        <f t="array" aca="1" ref="C44" ca="1">_FV(A44,"Volume average",TRUE)</f>
        <v>1737229</v>
      </c>
      <c r="D44" s="299" cm="1">
        <f t="array" aca="1" ref="D44" ca="1">_FV(A44,"Volume")</f>
        <v>1641741</v>
      </c>
      <c r="E44" s="300" cm="1">
        <f t="array" aca="1" ref="E44" ca="1">_FV(A44,"Beta")</f>
        <v>0.58089999999999997</v>
      </c>
      <c r="F44" s="255"/>
      <c r="G44" s="301" cm="1">
        <f t="array" aca="1" ref="G44" ca="1">_FV(A44,"Open")</f>
        <v>34.43</v>
      </c>
      <c r="H44" s="301" cm="1">
        <f t="array" aca="1" ref="H44" ca="1">_FV(A44,"High")</f>
        <v>34.700000000000003</v>
      </c>
      <c r="I44" s="301" cm="1">
        <f t="array" aca="1" ref="I44" ca="1">_FV(A44,"Low")</f>
        <v>34.29</v>
      </c>
      <c r="J44" s="301" cm="1">
        <f t="array" aca="1" ref="J44" ca="1">_FV(A44,"Previous close",TRUE)</f>
        <v>34.47</v>
      </c>
      <c r="K44" s="301" cm="1">
        <f t="array" aca="1" ref="K44" ca="1">_FV(A44,"Price")</f>
        <v>34.450000000000003</v>
      </c>
      <c r="L44" s="302" cm="1">
        <f t="array" aca="1" ref="L44" ca="1">_FV(A44,"Change (%)",TRUE)</f>
        <v>-5.8020000000000001E-4</v>
      </c>
      <c r="M44" s="301" cm="1">
        <f t="array" aca="1" ref="M44" ca="1">_FV(A44,"Change")</f>
        <v>-0.02</v>
      </c>
      <c r="N44" s="301" cm="1">
        <f t="array" aca="1" ref="N44" ca="1">_FV(A44,"52 week high",TRUE)</f>
        <v>44.14</v>
      </c>
      <c r="O44" s="301" cm="1">
        <f t="array" aca="1" ref="O44" ca="1">_FV(A44,"52 week low",TRUE)</f>
        <v>31.63</v>
      </c>
      <c r="P44" s="303" cm="1">
        <f t="array" aca="1" ref="P44" ca="1">_FV(A44,"Market cap",TRUE)</f>
        <v>7154427865</v>
      </c>
    </row>
    <row r="45" spans="1:16" x14ac:dyDescent="0.2">
      <c r="A45" s="313" t="e" vm="36">
        <v>#VALUE!</v>
      </c>
      <c r="B45" s="312" t="s">
        <v>388</v>
      </c>
      <c r="C45" s="299" cm="1">
        <f t="array" aca="1" ref="C45" ca="1">_FV(A45,"Volume average",TRUE)</f>
        <v>21760948</v>
      </c>
      <c r="D45" s="299" cm="1">
        <f t="array" aca="1" ref="D45" ca="1">_FV(A45,"Volume")</f>
        <v>11896082</v>
      </c>
      <c r="E45" s="300" cm="1">
        <f t="array" aca="1" ref="E45" ca="1">_FV(A45,"Beta")</f>
        <v>-11.726000000000001</v>
      </c>
      <c r="F45" s="255"/>
      <c r="G45" s="301" cm="1">
        <f t="array" aca="1" ref="G45" ca="1">_FV(A45,"Open")</f>
        <v>89.2</v>
      </c>
      <c r="H45" s="301" cm="1">
        <f t="array" aca="1" ref="H45" ca="1">_FV(A45,"High")</f>
        <v>95.45</v>
      </c>
      <c r="I45" s="301" cm="1">
        <f t="array" aca="1" ref="I45" ca="1">_FV(A45,"Low")</f>
        <v>86.7</v>
      </c>
      <c r="J45" s="301" cm="1">
        <f t="array" aca="1" ref="J45" ca="1">_FV(A45,"Previous close",TRUE)</f>
        <v>93.59</v>
      </c>
      <c r="K45" s="301" cm="1">
        <f t="array" aca="1" ref="K45" ca="1">_FV(A45,"Price")</f>
        <v>94.28</v>
      </c>
      <c r="L45" s="302" cm="1">
        <f t="array" aca="1" ref="L45" ca="1">_FV(A45,"Change (%)",TRUE)</f>
        <v>7.3729999999999993E-3</v>
      </c>
      <c r="M45" s="301" cm="1">
        <f t="array" aca="1" ref="M45" ca="1">_FV(A45,"Change")</f>
        <v>0.69</v>
      </c>
      <c r="N45" s="301" cm="1">
        <f t="array" aca="1" ref="N45" ca="1">_FV(A45,"52 week high",TRUE)</f>
        <v>141.1</v>
      </c>
      <c r="O45" s="301" cm="1">
        <f t="array" aca="1" ref="O45" ca="1">_FV(A45,"52 week low",TRUE)</f>
        <v>18.309999999999999</v>
      </c>
      <c r="P45" s="303" cm="1">
        <f t="array" aca="1" ref="P45" ca="1">_FV(A45,"Market cap",TRUE)</f>
        <v>23740382816</v>
      </c>
    </row>
    <row r="46" spans="1:16" x14ac:dyDescent="0.2">
      <c r="A46" s="313" t="e" vm="37">
        <v>#VALUE!</v>
      </c>
      <c r="B46" s="312" t="s">
        <v>389</v>
      </c>
      <c r="C46" s="299" cm="1">
        <f t="array" aca="1" ref="C46" ca="1">_FV(A46,"Volume average",TRUE)</f>
        <v>12063635</v>
      </c>
      <c r="D46" s="299" cm="1">
        <f t="array" aca="1" ref="D46" ca="1">_FV(A46,"Volume")</f>
        <v>9557924</v>
      </c>
      <c r="E46" s="300" cm="1">
        <f t="array" aca="1" ref="E46" ca="1">_FV(A46,"Beta")</f>
        <v>1.4705999999999999</v>
      </c>
      <c r="F46" s="255"/>
      <c r="G46" s="301" cm="1">
        <f t="array" aca="1" ref="G46" ca="1">_FV(A46,"Open")</f>
        <v>14.63</v>
      </c>
      <c r="H46" s="301" cm="1">
        <f t="array" aca="1" ref="H46" ca="1">_FV(A46,"High")</f>
        <v>16.04</v>
      </c>
      <c r="I46" s="301" cm="1">
        <f t="array" aca="1" ref="I46" ca="1">_FV(A46,"Low")</f>
        <v>14.53</v>
      </c>
      <c r="J46" s="301" cm="1">
        <f t="array" aca="1" ref="J46" ca="1">_FV(A46,"Previous close",TRUE)</f>
        <v>14.86</v>
      </c>
      <c r="K46" s="301" cm="1">
        <f t="array" aca="1" ref="K46" ca="1">_FV(A46,"Price")</f>
        <v>15.82</v>
      </c>
      <c r="L46" s="302" cm="1">
        <f t="array" aca="1" ref="L46" ca="1">_FV(A46,"Change (%)",TRUE)</f>
        <v>6.4603000000000008E-2</v>
      </c>
      <c r="M46" s="301" cm="1">
        <f t="array" aca="1" ref="M46" ca="1">_FV(A46,"Change")</f>
        <v>0.96</v>
      </c>
      <c r="N46" s="301" cm="1">
        <f t="array" aca="1" ref="N46" ca="1">_FV(A46,"52 week high",TRUE)</f>
        <v>27.33</v>
      </c>
      <c r="O46" s="301" cm="1">
        <f t="array" aca="1" ref="O46" ca="1">_FV(A46,"52 week low",TRUE)</f>
        <v>3.2</v>
      </c>
      <c r="P46" s="303" cm="1">
        <f t="array" aca="1" ref="P46" ca="1">_FV(A46,"Market cap",TRUE)</f>
        <v>3753877176</v>
      </c>
    </row>
    <row r="47" spans="1:16" x14ac:dyDescent="0.2">
      <c r="A47" s="313" t="e" vm="38">
        <v>#VALUE!</v>
      </c>
      <c r="B47" s="312" t="s">
        <v>390</v>
      </c>
      <c r="C47" s="299" cm="1">
        <f t="array" aca="1" ref="C47" ca="1">_FV(A47,"Volume average",TRUE)</f>
        <v>24064972</v>
      </c>
      <c r="D47" s="299" cm="1">
        <f t="array" aca="1" ref="D47" ca="1">_FV(A47,"Volume")</f>
        <v>100612691</v>
      </c>
      <c r="E47" s="300" cm="1">
        <f t="array" aca="1" ref="E47" ca="1">_FV(A47,"Beta")</f>
        <v>1.6418999999999999</v>
      </c>
      <c r="F47" s="255"/>
      <c r="G47" s="301" cm="1">
        <f t="array" aca="1" ref="G47" ca="1">_FV(A47,"Open")</f>
        <v>190.62</v>
      </c>
      <c r="H47" s="301" cm="1">
        <f t="array" aca="1" ref="H47" ca="1">_FV(A47,"High")</f>
        <v>201.99</v>
      </c>
      <c r="I47" s="301" cm="1">
        <f t="array" aca="1" ref="I47" ca="1">_FV(A47,"Low")</f>
        <v>186.23</v>
      </c>
      <c r="J47" s="301" cm="1">
        <f t="array" aca="1" ref="J47" ca="1">_FV(A47,"Previous close",TRUE)</f>
        <v>223.01</v>
      </c>
      <c r="K47" s="301" cm="1">
        <f t="array" aca="1" ref="K47" ca="1">_FV(A47,"Price")</f>
        <v>198.85</v>
      </c>
      <c r="L47" s="302" cm="1">
        <f t="array" aca="1" ref="L47" ca="1">_FV(A47,"Change (%)",TRUE)</f>
        <v>-0.108336</v>
      </c>
      <c r="M47" s="301" cm="1">
        <f t="array" aca="1" ref="M47" ca="1">_FV(A47,"Change")</f>
        <v>-24.16</v>
      </c>
      <c r="N47" s="301" cm="1">
        <f t="array" aca="1" ref="N47" ca="1">_FV(A47,"52 week high",TRUE)</f>
        <v>345.72</v>
      </c>
      <c r="O47" s="301" cm="1">
        <f t="array" aca="1" ref="O47" ca="1">_FV(A47,"52 week low",TRUE)</f>
        <v>118.86</v>
      </c>
      <c r="P47" s="303" cm="1">
        <f t="array" aca="1" ref="P47" ca="1">_FV(A47,"Market cap",TRUE)</f>
        <v>566880188050</v>
      </c>
    </row>
    <row r="48" spans="1:16" x14ac:dyDescent="0.2">
      <c r="A48" s="314" t="e" vm="26">
        <v>#VALUE!</v>
      </c>
      <c r="B48" s="312" t="s">
        <v>381</v>
      </c>
      <c r="C48" s="299" cm="1">
        <f t="array" aca="1" ref="C48" ca="1">_FV(A48,"Volume average",TRUE)</f>
        <v>32688189</v>
      </c>
      <c r="D48" s="299" cm="1">
        <f t="array" aca="1" ref="D48" ca="1">_FV(A48,"Volume")</f>
        <v>26922845</v>
      </c>
      <c r="E48" s="300" cm="1">
        <f t="array" aca="1" ref="E48" ca="1">_FV(A48,"Beta")</f>
        <v>2.5390000000000001</v>
      </c>
      <c r="F48" s="255"/>
      <c r="G48" s="301" cm="1">
        <f t="array" aca="1" ref="G48" ca="1">_FV(A48,"Open")</f>
        <v>83.01</v>
      </c>
      <c r="H48" s="301" cm="1">
        <f t="array" aca="1" ref="H48" ca="1">_FV(A48,"High")</f>
        <v>88.53</v>
      </c>
      <c r="I48" s="301" cm="1">
        <f t="array" aca="1" ref="I48" ca="1">_FV(A48,"Low")</f>
        <v>81.099999999999994</v>
      </c>
      <c r="J48" s="301" cm="1">
        <f t="array" aca="1" ref="J48" ca="1">_FV(A48,"Previous close",TRUE)</f>
        <v>88.16</v>
      </c>
      <c r="K48" s="301" cm="1">
        <f t="array" aca="1" ref="K48" ca="1">_FV(A48,"Price")</f>
        <v>87.38</v>
      </c>
      <c r="L48" s="302" cm="1">
        <f t="array" aca="1" ref="L48" ca="1">_FV(A48,"Change (%)",TRUE)</f>
        <v>-8.848E-3</v>
      </c>
      <c r="M48" s="301" cm="1">
        <f t="array" aca="1" ref="M48" ca="1">_FV(A48,"Change")</f>
        <v>-0.78</v>
      </c>
      <c r="N48" s="301" cm="1">
        <f t="array" aca="1" ref="N48" ca="1">_FV(A48,"52 week high",TRUE)</f>
        <v>187</v>
      </c>
      <c r="O48" s="301" cm="1">
        <f t="array" aca="1" ref="O48" ca="1">_FV(A48,"52 week low",TRUE)</f>
        <v>33.515000000000001</v>
      </c>
      <c r="P48" s="303" cm="1">
        <f t="array" aca="1" ref="P48" ca="1">_FV(A48,"Market cap",TRUE)</f>
        <v>43542983150</v>
      </c>
    </row>
  </sheetData>
  <sheetProtection algorithmName="SHA-512" hashValue="3umVjuAamgWsLFmBdC97ezb19qg6V4wJgfKBdJtTb+fwjJ16p5ouweWNilHM+mCExUEWkG3kZt94sWONk7Rizg==" saltValue="izJpSG0bjafC+DPtM8HywA==" spinCount="100000" sheet="1" objects="1" scenarios="1"/>
  <conditionalFormatting sqref="K2:K48">
    <cfRule type="expression" dxfId="5" priority="1">
      <formula>K2&lt;J2</formula>
    </cfRule>
    <cfRule type="expression" dxfId="4" priority="2">
      <formula>K2&gt;J2</formula>
    </cfRule>
  </conditionalFormatting>
  <conditionalFormatting sqref="L2:L48">
    <cfRule type="cellIs" dxfId="3" priority="21" operator="equal">
      <formula>0</formula>
    </cfRule>
  </conditionalFormatting>
  <conditionalFormatting sqref="L2:M48">
    <cfRule type="cellIs" dxfId="2" priority="17" operator="greaterThan">
      <formula>0</formula>
    </cfRule>
    <cfRule type="cellIs" dxfId="1" priority="18" operator="lessThan">
      <formula>0</formula>
    </cfRule>
  </conditionalFormatting>
  <conditionalFormatting sqref="M2:M48">
    <cfRule type="cellIs" dxfId="0" priority="19" operator="lessThan">
      <formula>0</formula>
    </cfRule>
  </conditionalFormatting>
  <printOptions horizontalCentered="1" verticalCentered="1"/>
  <pageMargins left="0.25" right="0.25" top="0.75" bottom="0.75" header="0.3" footer="0.3"/>
  <pageSetup scale="57" orientation="landscape"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26826-566A-4D40-A052-D61CCD57A428}">
  <sheetPr>
    <pageSetUpPr fitToPage="1"/>
  </sheetPr>
  <dimension ref="A1:AA73"/>
  <sheetViews>
    <sheetView topLeftCell="A49" zoomScale="94" zoomScaleNormal="119" zoomScaleSheetLayoutView="89" zoomScalePageLayoutView="79" workbookViewId="0">
      <selection activeCell="AA80" sqref="AA80"/>
    </sheetView>
  </sheetViews>
  <sheetFormatPr baseColWidth="10" defaultRowHeight="15" x14ac:dyDescent="0.2"/>
  <cols>
    <col min="1" max="1" width="11.33203125" style="1" customWidth="1"/>
    <col min="2" max="2" width="1.83203125" style="1" customWidth="1"/>
    <col min="3" max="3" width="10.83203125" style="1"/>
    <col min="4" max="4" width="1.83203125" style="1" customWidth="1"/>
    <col min="5" max="5" width="10.83203125" style="1"/>
    <col min="6" max="6" width="6.33203125" style="1" customWidth="1"/>
    <col min="7" max="7" width="7.33203125" style="1" customWidth="1"/>
    <col min="8" max="8" width="8.5" style="1" customWidth="1"/>
    <col min="9" max="9" width="8.33203125" style="1" customWidth="1"/>
    <col min="10" max="10" width="10.83203125" style="1"/>
    <col min="11" max="11" width="10.83203125" style="1" customWidth="1"/>
    <col min="12" max="12" width="10.6640625" style="1" customWidth="1"/>
    <col min="13" max="15" width="10.83203125" style="1" customWidth="1"/>
    <col min="16" max="16" width="10.83203125" style="1"/>
    <col min="17" max="17" width="9.33203125" style="1" customWidth="1"/>
    <col min="18" max="18" width="0.1640625" style="1" customWidth="1"/>
    <col min="19" max="19" width="10.83203125" style="1" customWidth="1"/>
    <col min="20" max="25" width="0.1640625" style="1" customWidth="1"/>
    <col min="26" max="16384" width="10.83203125" style="1"/>
  </cols>
  <sheetData>
    <row r="1" spans="1:27" ht="27" x14ac:dyDescent="0.35">
      <c r="A1" s="384" t="s">
        <v>332</v>
      </c>
      <c r="B1" s="384"/>
      <c r="C1" s="384"/>
      <c r="D1" s="384"/>
      <c r="E1" s="384"/>
      <c r="F1" s="384"/>
      <c r="G1" s="384"/>
      <c r="H1" s="384"/>
      <c r="I1" s="315"/>
      <c r="J1" s="25"/>
      <c r="K1" s="25"/>
      <c r="L1" s="25"/>
      <c r="M1" s="25"/>
      <c r="N1" s="25"/>
      <c r="O1" s="25"/>
      <c r="P1" s="29"/>
      <c r="Q1" s="29"/>
      <c r="R1" s="29"/>
      <c r="S1" s="29"/>
      <c r="T1" s="29"/>
      <c r="U1" s="29"/>
      <c r="V1" s="29"/>
      <c r="W1" s="29"/>
      <c r="X1" s="29"/>
      <c r="Y1" s="29"/>
    </row>
    <row r="2" spans="1:27" ht="15" customHeight="1" x14ac:dyDescent="0.2">
      <c r="A2" s="385" t="s">
        <v>338</v>
      </c>
      <c r="B2" s="385"/>
      <c r="C2" s="385"/>
      <c r="D2" s="385"/>
      <c r="E2" s="385"/>
      <c r="F2" s="385"/>
      <c r="G2" s="385"/>
      <c r="H2" s="385"/>
      <c r="I2" s="316"/>
      <c r="J2" s="27"/>
      <c r="K2" s="27"/>
      <c r="L2" s="27"/>
      <c r="M2" s="27"/>
      <c r="N2" s="27"/>
      <c r="O2" s="27"/>
      <c r="P2" s="29"/>
      <c r="Q2" s="29"/>
      <c r="R2" s="29"/>
      <c r="S2" s="29"/>
      <c r="T2" s="29"/>
      <c r="U2" s="29"/>
      <c r="V2" s="29"/>
      <c r="W2" s="29"/>
      <c r="X2" s="29"/>
      <c r="Y2" s="29"/>
      <c r="Z2" s="28"/>
      <c r="AA2" s="28"/>
    </row>
    <row r="3" spans="1:27" ht="15" customHeight="1" x14ac:dyDescent="0.2">
      <c r="A3" s="385"/>
      <c r="B3" s="385"/>
      <c r="C3" s="385"/>
      <c r="D3" s="385"/>
      <c r="E3" s="385"/>
      <c r="F3" s="385"/>
      <c r="G3" s="385"/>
      <c r="H3" s="385"/>
      <c r="I3" s="316"/>
      <c r="J3" s="27"/>
      <c r="K3" s="27"/>
      <c r="L3" s="27"/>
      <c r="M3" s="27"/>
      <c r="N3" s="27"/>
      <c r="O3" s="27"/>
      <c r="P3" s="29"/>
      <c r="Q3" s="29"/>
      <c r="R3" s="29"/>
      <c r="S3" s="29"/>
      <c r="T3" s="29"/>
      <c r="U3" s="29"/>
      <c r="V3" s="29"/>
      <c r="W3" s="29"/>
      <c r="X3" s="29"/>
      <c r="Y3" s="29"/>
      <c r="Z3" s="28"/>
      <c r="AA3" s="28"/>
    </row>
    <row r="4" spans="1:27" ht="15" customHeight="1" x14ac:dyDescent="0.2">
      <c r="A4" s="34"/>
      <c r="B4" s="34"/>
      <c r="C4" s="34"/>
      <c r="D4" s="34"/>
      <c r="E4" s="34"/>
      <c r="F4" s="34"/>
      <c r="G4" s="34"/>
      <c r="H4" s="34"/>
      <c r="I4" s="34"/>
      <c r="P4" s="29"/>
      <c r="Q4" s="29"/>
      <c r="R4" s="29"/>
      <c r="S4" s="29"/>
      <c r="T4" s="29"/>
      <c r="U4" s="29"/>
      <c r="V4" s="29"/>
      <c r="W4" s="29"/>
      <c r="X4" s="29"/>
      <c r="Y4" s="29"/>
      <c r="Z4" s="28"/>
      <c r="AA4" s="28"/>
    </row>
    <row r="5" spans="1:27" ht="19" customHeight="1" x14ac:dyDescent="0.25">
      <c r="A5" s="125" t="s">
        <v>339</v>
      </c>
      <c r="B5" s="34"/>
      <c r="C5" s="34"/>
      <c r="D5" s="34"/>
      <c r="E5" s="34"/>
      <c r="F5" s="34"/>
      <c r="G5" s="34"/>
      <c r="H5" s="34"/>
      <c r="I5" s="34"/>
      <c r="N5" s="19"/>
      <c r="P5" s="29"/>
      <c r="Q5" s="29"/>
      <c r="R5" s="29"/>
      <c r="S5" s="29"/>
      <c r="T5" s="29"/>
      <c r="U5" s="29"/>
      <c r="V5" s="29"/>
      <c r="W5" s="29"/>
      <c r="X5" s="29"/>
      <c r="Y5" s="29"/>
      <c r="Z5" s="28"/>
      <c r="AA5" s="28"/>
    </row>
    <row r="6" spans="1:27" ht="15" customHeight="1" x14ac:dyDescent="0.2">
      <c r="A6" s="34"/>
      <c r="B6" s="34"/>
      <c r="C6" s="34"/>
      <c r="D6" s="34"/>
      <c r="E6" s="34"/>
      <c r="F6" s="34"/>
      <c r="G6" s="34"/>
      <c r="H6" s="34"/>
      <c r="I6" s="34"/>
      <c r="P6" s="29"/>
      <c r="Q6" s="29"/>
      <c r="R6" s="29"/>
      <c r="S6" s="29"/>
      <c r="T6" s="29"/>
      <c r="U6" s="29"/>
      <c r="V6" s="29"/>
      <c r="W6" s="29"/>
      <c r="X6" s="29"/>
      <c r="Y6" s="29"/>
      <c r="Z6" s="28"/>
      <c r="AA6" s="28"/>
    </row>
    <row r="7" spans="1:27" ht="15" customHeight="1" x14ac:dyDescent="0.2">
      <c r="A7" s="34"/>
      <c r="B7" s="34"/>
      <c r="C7" s="34"/>
      <c r="D7" s="34"/>
      <c r="E7" s="34"/>
      <c r="F7" s="34"/>
      <c r="G7" s="34"/>
      <c r="H7" s="34"/>
      <c r="I7" s="34"/>
      <c r="P7" s="29"/>
      <c r="Q7" s="29"/>
      <c r="R7" s="29"/>
      <c r="S7" s="29"/>
      <c r="T7" s="29"/>
      <c r="U7" s="29"/>
      <c r="V7" s="29"/>
      <c r="W7" s="29"/>
      <c r="X7" s="29"/>
      <c r="Y7" s="29"/>
      <c r="Z7" s="28"/>
      <c r="AA7" s="28"/>
    </row>
    <row r="8" spans="1:27" ht="19" customHeight="1" x14ac:dyDescent="0.25">
      <c r="A8" s="317" t="s">
        <v>333</v>
      </c>
      <c r="B8" s="34"/>
      <c r="C8" s="34"/>
      <c r="D8" s="34"/>
      <c r="E8" s="34"/>
      <c r="F8" s="34"/>
      <c r="G8" s="34"/>
      <c r="H8" s="34"/>
      <c r="I8" s="34"/>
      <c r="N8" s="23"/>
      <c r="P8" s="29"/>
      <c r="Q8" s="29"/>
      <c r="R8" s="29"/>
      <c r="S8" s="29"/>
      <c r="T8" s="29"/>
      <c r="U8" s="29"/>
      <c r="V8" s="29"/>
      <c r="W8" s="29"/>
      <c r="X8" s="29"/>
      <c r="Y8" s="29"/>
      <c r="Z8" s="28"/>
      <c r="AA8" s="28"/>
    </row>
    <row r="9" spans="1:27" ht="15" customHeight="1" x14ac:dyDescent="0.2">
      <c r="A9" s="34"/>
      <c r="B9" s="34"/>
      <c r="C9" s="34"/>
      <c r="D9" s="34"/>
      <c r="E9" s="34"/>
      <c r="F9" s="34"/>
      <c r="G9" s="34"/>
      <c r="H9" s="34"/>
      <c r="I9" s="34"/>
      <c r="P9" s="29"/>
      <c r="Q9" s="29"/>
      <c r="R9" s="29"/>
      <c r="S9" s="29"/>
      <c r="T9" s="29"/>
      <c r="U9" s="29"/>
      <c r="V9" s="29"/>
      <c r="W9" s="29"/>
      <c r="X9" s="29"/>
      <c r="Y9" s="29"/>
      <c r="Z9" s="28"/>
      <c r="AA9" s="28"/>
    </row>
    <row r="10" spans="1:27" ht="16" customHeight="1" x14ac:dyDescent="0.2">
      <c r="A10" s="318" t="s">
        <v>340</v>
      </c>
      <c r="B10" s="34"/>
      <c r="C10" s="34"/>
      <c r="D10" s="34"/>
      <c r="E10" s="318" t="s">
        <v>341</v>
      </c>
      <c r="F10" s="34"/>
      <c r="G10" s="34"/>
      <c r="H10" s="34"/>
      <c r="I10" s="34"/>
      <c r="J10" s="21"/>
      <c r="N10" s="21"/>
      <c r="P10" s="29"/>
      <c r="Q10" s="29"/>
      <c r="R10" s="29"/>
      <c r="S10" s="29"/>
      <c r="T10" s="29"/>
      <c r="U10" s="29"/>
      <c r="V10" s="29"/>
      <c r="W10" s="29"/>
      <c r="X10" s="29"/>
      <c r="Y10" s="29"/>
      <c r="Z10" s="28"/>
      <c r="AA10" s="28"/>
    </row>
    <row r="11" spans="1:27" ht="15" customHeight="1" x14ac:dyDescent="0.2">
      <c r="A11" s="319"/>
      <c r="B11" s="320"/>
      <c r="C11" s="321"/>
      <c r="D11" s="34"/>
      <c r="E11" s="322"/>
      <c r="F11" s="320"/>
      <c r="G11" s="321"/>
      <c r="H11" s="34"/>
      <c r="I11" s="34"/>
      <c r="P11" s="29"/>
      <c r="Q11" s="29"/>
      <c r="R11" s="29"/>
      <c r="S11" s="29"/>
      <c r="T11" s="29"/>
      <c r="U11" s="29"/>
      <c r="V11" s="29"/>
      <c r="W11" s="29"/>
      <c r="X11" s="29"/>
      <c r="Y11" s="29"/>
      <c r="Z11" s="28"/>
      <c r="AA11" s="28"/>
    </row>
    <row r="12" spans="1:27" ht="15" customHeight="1" x14ac:dyDescent="0.2">
      <c r="A12" s="34"/>
      <c r="B12" s="34"/>
      <c r="C12" s="34"/>
      <c r="D12" s="34"/>
      <c r="E12" s="34"/>
      <c r="F12" s="34"/>
      <c r="G12" s="34"/>
      <c r="H12" s="34"/>
      <c r="I12" s="34"/>
      <c r="P12" s="29"/>
      <c r="Q12" s="29"/>
      <c r="R12" s="29"/>
      <c r="S12" s="29"/>
      <c r="T12" s="29"/>
      <c r="U12" s="29"/>
      <c r="V12" s="29"/>
      <c r="W12" s="29"/>
      <c r="X12" s="29"/>
      <c r="Y12" s="29"/>
      <c r="Z12" s="28"/>
      <c r="AA12" s="28"/>
    </row>
    <row r="13" spans="1:27" ht="15" customHeight="1" x14ac:dyDescent="0.2">
      <c r="A13" s="34"/>
      <c r="B13" s="34"/>
      <c r="C13" s="34"/>
      <c r="D13" s="34"/>
      <c r="E13" s="34"/>
      <c r="F13" s="34"/>
      <c r="G13" s="34"/>
      <c r="H13" s="34"/>
      <c r="I13" s="34"/>
      <c r="P13" s="29"/>
      <c r="Q13" s="29"/>
      <c r="R13" s="29"/>
      <c r="S13" s="29"/>
      <c r="T13" s="29"/>
      <c r="U13" s="29"/>
      <c r="V13" s="29"/>
      <c r="W13" s="29"/>
      <c r="X13" s="29"/>
      <c r="Y13" s="29"/>
      <c r="Z13" s="28"/>
      <c r="AA13" s="28"/>
    </row>
    <row r="14" spans="1:27" ht="16" customHeight="1" x14ac:dyDescent="0.2">
      <c r="A14" s="323" t="s">
        <v>342</v>
      </c>
      <c r="B14" s="34" t="s">
        <v>178</v>
      </c>
      <c r="C14" s="34"/>
      <c r="D14" s="34"/>
      <c r="E14" s="34"/>
      <c r="F14" s="34"/>
      <c r="G14" s="318" t="s">
        <v>318</v>
      </c>
      <c r="H14" s="34"/>
      <c r="I14" s="34"/>
      <c r="L14" s="21"/>
      <c r="N14" s="22"/>
      <c r="P14" s="29"/>
      <c r="Q14" s="29"/>
      <c r="R14" s="29"/>
      <c r="S14" s="29"/>
      <c r="T14" s="29"/>
      <c r="U14" s="29"/>
      <c r="V14" s="29"/>
      <c r="W14" s="29"/>
      <c r="X14" s="29"/>
      <c r="Y14" s="29"/>
      <c r="Z14" s="28"/>
      <c r="AA14" s="28"/>
    </row>
    <row r="15" spans="1:27" ht="15" customHeight="1" x14ac:dyDescent="0.2">
      <c r="A15" s="324"/>
      <c r="B15" s="34"/>
      <c r="C15" s="324"/>
      <c r="D15" s="34"/>
      <c r="E15" s="324"/>
      <c r="F15" s="34"/>
      <c r="G15" s="325"/>
      <c r="H15" s="34"/>
      <c r="I15" s="34"/>
      <c r="P15" s="29"/>
      <c r="Q15" s="29"/>
      <c r="R15" s="29"/>
      <c r="S15" s="29"/>
      <c r="T15" s="29"/>
      <c r="U15" s="29"/>
      <c r="V15" s="29"/>
      <c r="W15" s="29"/>
      <c r="X15" s="29"/>
      <c r="Y15" s="29"/>
      <c r="Z15" s="28"/>
      <c r="AA15" s="28"/>
    </row>
    <row r="16" spans="1:27" ht="15" customHeight="1" x14ac:dyDescent="0.2">
      <c r="A16" s="326" t="s">
        <v>343</v>
      </c>
      <c r="B16" s="34"/>
      <c r="C16" s="326" t="s">
        <v>344</v>
      </c>
      <c r="D16" s="34"/>
      <c r="E16" s="326" t="s">
        <v>345</v>
      </c>
      <c r="F16" s="34"/>
      <c r="G16" s="34"/>
      <c r="H16" s="34"/>
      <c r="I16" s="34"/>
      <c r="J16" s="24"/>
      <c r="N16" s="24"/>
      <c r="P16" s="29"/>
      <c r="Q16" s="29"/>
      <c r="R16" s="29"/>
      <c r="S16" s="29"/>
      <c r="T16" s="29"/>
      <c r="U16" s="29"/>
      <c r="V16" s="29"/>
      <c r="W16" s="29"/>
      <c r="X16" s="29"/>
      <c r="Y16" s="29"/>
      <c r="Z16" s="28"/>
      <c r="AA16" s="28"/>
    </row>
    <row r="17" spans="1:27" ht="15" customHeight="1" x14ac:dyDescent="0.2">
      <c r="A17" s="34"/>
      <c r="B17" s="34"/>
      <c r="C17" s="34"/>
      <c r="D17" s="34"/>
      <c r="E17" s="34"/>
      <c r="F17" s="34"/>
      <c r="G17" s="34"/>
      <c r="H17" s="34"/>
      <c r="I17" s="34"/>
      <c r="P17" s="29"/>
      <c r="Q17" s="29"/>
      <c r="R17" s="29"/>
      <c r="S17" s="29"/>
      <c r="T17" s="29"/>
      <c r="U17" s="29"/>
      <c r="V17" s="29"/>
      <c r="W17" s="29"/>
      <c r="X17" s="29"/>
      <c r="Y17" s="29"/>
      <c r="Z17" s="28"/>
      <c r="AA17" s="28"/>
    </row>
    <row r="18" spans="1:27" ht="16" customHeight="1" x14ac:dyDescent="0.2">
      <c r="A18" s="318" t="s">
        <v>320</v>
      </c>
      <c r="B18" s="34"/>
      <c r="C18" s="34"/>
      <c r="D18" s="34"/>
      <c r="E18" s="34"/>
      <c r="F18" s="34"/>
      <c r="G18" s="34"/>
      <c r="H18" s="34"/>
      <c r="I18" s="34"/>
      <c r="N18" s="21"/>
      <c r="P18" s="29"/>
      <c r="Q18" s="29"/>
      <c r="R18" s="29"/>
      <c r="S18" s="29"/>
      <c r="T18" s="29"/>
      <c r="U18" s="29"/>
      <c r="V18" s="29"/>
      <c r="W18" s="29"/>
      <c r="X18" s="29"/>
      <c r="Y18" s="29"/>
      <c r="Z18" s="28"/>
      <c r="AA18" s="28"/>
    </row>
    <row r="19" spans="1:27" ht="15" customHeight="1" x14ac:dyDescent="0.2">
      <c r="A19" s="319"/>
      <c r="B19" s="320"/>
      <c r="C19" s="320"/>
      <c r="D19" s="320"/>
      <c r="E19" s="320"/>
      <c r="F19" s="321"/>
      <c r="G19" s="34"/>
      <c r="H19" s="34"/>
      <c r="I19" s="34"/>
      <c r="P19" s="29"/>
      <c r="Q19" s="29"/>
      <c r="R19" s="29"/>
      <c r="S19" s="29"/>
      <c r="T19" s="29"/>
      <c r="U19" s="29"/>
      <c r="V19" s="29"/>
      <c r="W19" s="29"/>
      <c r="X19" s="29"/>
      <c r="Y19" s="29"/>
      <c r="Z19" s="28"/>
      <c r="AA19" s="28"/>
    </row>
    <row r="20" spans="1:27" ht="15" customHeight="1" x14ac:dyDescent="0.2">
      <c r="A20" s="326" t="s">
        <v>346</v>
      </c>
      <c r="B20" s="326"/>
      <c r="C20" s="326"/>
      <c r="D20" s="326"/>
      <c r="E20" s="326"/>
      <c r="F20" s="34"/>
      <c r="G20" s="34"/>
      <c r="H20" s="34"/>
      <c r="I20" s="326"/>
      <c r="J20" s="24"/>
      <c r="N20" s="24"/>
      <c r="O20" s="24"/>
      <c r="P20" s="29"/>
      <c r="Q20" s="29"/>
      <c r="R20" s="29"/>
      <c r="S20" s="29"/>
      <c r="T20" s="29"/>
      <c r="U20" s="29"/>
      <c r="V20" s="29"/>
      <c r="W20" s="29"/>
      <c r="X20" s="29"/>
      <c r="Y20" s="29"/>
      <c r="Z20" s="28"/>
      <c r="AA20" s="28"/>
    </row>
    <row r="21" spans="1:27" ht="15" customHeight="1" x14ac:dyDescent="0.2">
      <c r="A21" s="34"/>
      <c r="B21" s="34"/>
      <c r="C21" s="34"/>
      <c r="D21" s="34"/>
      <c r="E21" s="34"/>
      <c r="F21" s="34"/>
      <c r="G21" s="34"/>
      <c r="H21" s="34"/>
      <c r="I21" s="34"/>
      <c r="P21" s="29"/>
      <c r="Q21" s="29"/>
      <c r="R21" s="29"/>
      <c r="S21" s="29"/>
      <c r="T21" s="29"/>
      <c r="U21" s="29"/>
      <c r="V21" s="29"/>
      <c r="W21" s="29"/>
      <c r="X21" s="29"/>
      <c r="Y21" s="29"/>
      <c r="Z21" s="28"/>
      <c r="AA21" s="28"/>
    </row>
    <row r="22" spans="1:27" ht="16" customHeight="1" x14ac:dyDescent="0.2">
      <c r="A22" s="318" t="s">
        <v>336</v>
      </c>
      <c r="B22" s="34"/>
      <c r="C22" s="34"/>
      <c r="D22" s="34"/>
      <c r="E22" s="34"/>
      <c r="F22" s="34"/>
      <c r="G22" s="34"/>
      <c r="H22" s="34"/>
      <c r="I22" s="34"/>
      <c r="N22" s="21"/>
      <c r="P22" s="29"/>
      <c r="Q22" s="29"/>
      <c r="R22" s="29"/>
      <c r="S22" s="29"/>
      <c r="T22" s="29"/>
      <c r="U22" s="29"/>
      <c r="V22" s="29"/>
      <c r="W22" s="29"/>
      <c r="X22" s="29"/>
      <c r="Y22" s="29"/>
      <c r="Z22" s="28"/>
      <c r="AA22" s="28"/>
    </row>
    <row r="23" spans="1:27" ht="15" customHeight="1" x14ac:dyDescent="0.2">
      <c r="A23" s="319"/>
      <c r="B23" s="320"/>
      <c r="C23" s="320"/>
      <c r="D23" s="320"/>
      <c r="E23" s="320"/>
      <c r="F23" s="321"/>
      <c r="G23" s="34"/>
      <c r="H23" s="34"/>
      <c r="I23" s="34"/>
      <c r="P23" s="29"/>
      <c r="Q23" s="29"/>
      <c r="R23" s="29"/>
      <c r="S23" s="29"/>
      <c r="T23" s="29"/>
      <c r="U23" s="29"/>
      <c r="V23" s="29"/>
      <c r="W23" s="29"/>
      <c r="X23" s="29"/>
      <c r="Y23" s="29"/>
      <c r="Z23" s="28"/>
      <c r="AA23" s="28"/>
    </row>
    <row r="24" spans="1:27" ht="15" customHeight="1" x14ac:dyDescent="0.2">
      <c r="A24" s="34"/>
      <c r="B24" s="34"/>
      <c r="C24" s="34"/>
      <c r="D24" s="34"/>
      <c r="E24" s="34"/>
      <c r="F24" s="34"/>
      <c r="G24" s="34"/>
      <c r="H24" s="34"/>
      <c r="I24" s="34"/>
      <c r="P24" s="29"/>
      <c r="Q24" s="29"/>
      <c r="R24" s="29"/>
      <c r="S24" s="29"/>
      <c r="T24" s="29"/>
      <c r="U24" s="29"/>
      <c r="V24" s="29"/>
      <c r="W24" s="29"/>
      <c r="X24" s="29"/>
      <c r="Y24" s="29"/>
      <c r="Z24" s="28"/>
      <c r="AA24" s="28"/>
    </row>
    <row r="25" spans="1:27" ht="16" customHeight="1" x14ac:dyDescent="0.2">
      <c r="A25" s="318" t="s">
        <v>337</v>
      </c>
      <c r="B25" s="34"/>
      <c r="C25" s="34"/>
      <c r="D25" s="34"/>
      <c r="E25" s="34"/>
      <c r="F25" s="34"/>
      <c r="G25" s="34"/>
      <c r="H25" s="34"/>
      <c r="I25" s="34"/>
      <c r="N25" s="21"/>
      <c r="P25" s="29"/>
      <c r="Q25" s="29"/>
      <c r="R25" s="29"/>
      <c r="S25" s="29"/>
      <c r="T25" s="29"/>
      <c r="U25" s="29"/>
      <c r="V25" s="29"/>
      <c r="W25" s="29"/>
      <c r="X25" s="29"/>
      <c r="Y25" s="29"/>
      <c r="Z25" s="28"/>
      <c r="AA25" s="28"/>
    </row>
    <row r="26" spans="1:27" ht="15" customHeight="1" x14ac:dyDescent="0.2">
      <c r="A26" s="327"/>
      <c r="B26" s="328"/>
      <c r="C26" s="328"/>
      <c r="D26" s="328"/>
      <c r="E26" s="328"/>
      <c r="F26" s="329"/>
      <c r="G26" s="34"/>
      <c r="H26" s="34"/>
      <c r="I26" s="34"/>
      <c r="P26" s="29"/>
      <c r="Q26" s="29"/>
      <c r="R26" s="29"/>
      <c r="S26" s="29"/>
      <c r="T26" s="29"/>
      <c r="U26" s="29"/>
      <c r="V26" s="29"/>
      <c r="W26" s="29"/>
      <c r="X26" s="29"/>
      <c r="Y26" s="29"/>
    </row>
    <row r="27" spans="1:27" ht="15" customHeight="1" x14ac:dyDescent="0.2">
      <c r="A27" s="34"/>
      <c r="B27" s="34"/>
      <c r="C27" s="34"/>
      <c r="D27" s="34"/>
      <c r="E27" s="34"/>
      <c r="F27" s="34"/>
      <c r="G27" s="34"/>
      <c r="H27" s="34"/>
      <c r="I27" s="34"/>
      <c r="P27" s="29"/>
      <c r="Q27" s="29"/>
      <c r="R27" s="29"/>
      <c r="S27" s="29"/>
      <c r="T27" s="29"/>
      <c r="U27" s="29"/>
      <c r="V27" s="29"/>
      <c r="W27" s="29"/>
      <c r="X27" s="29"/>
      <c r="Y27" s="29"/>
    </row>
    <row r="28" spans="1:27" ht="16" x14ac:dyDescent="0.2">
      <c r="A28" s="318" t="s">
        <v>347</v>
      </c>
      <c r="B28" s="34"/>
      <c r="C28" s="34"/>
      <c r="D28" s="34"/>
      <c r="E28" s="34"/>
      <c r="F28" s="34"/>
      <c r="G28" s="34"/>
      <c r="H28" s="34"/>
      <c r="I28" s="34"/>
      <c r="N28" s="21"/>
    </row>
    <row r="29" spans="1:27" x14ac:dyDescent="0.2">
      <c r="A29" s="330"/>
      <c r="B29" s="320"/>
      <c r="C29" s="320"/>
      <c r="D29" s="320"/>
      <c r="E29" s="320"/>
      <c r="F29" s="321"/>
      <c r="G29" s="34"/>
      <c r="H29" s="34"/>
      <c r="I29" s="34"/>
    </row>
    <row r="30" spans="1:27" x14ac:dyDescent="0.2">
      <c r="A30" s="326" t="s">
        <v>348</v>
      </c>
      <c r="B30" s="34"/>
      <c r="C30" s="34"/>
      <c r="D30" s="34"/>
      <c r="E30" s="34"/>
      <c r="F30" s="34"/>
      <c r="G30" s="34"/>
      <c r="H30" s="34"/>
      <c r="I30" s="34"/>
      <c r="N30" s="24"/>
    </row>
    <row r="31" spans="1:27" x14ac:dyDescent="0.2">
      <c r="A31" s="34"/>
      <c r="B31" s="34"/>
      <c r="C31" s="34"/>
      <c r="D31" s="34"/>
      <c r="E31" s="34"/>
      <c r="F31" s="34"/>
      <c r="G31" s="34"/>
      <c r="H31" s="34"/>
      <c r="I31" s="34"/>
    </row>
    <row r="32" spans="1:27" ht="16" x14ac:dyDescent="0.2">
      <c r="A32" s="318" t="s">
        <v>349</v>
      </c>
      <c r="B32" s="34"/>
      <c r="C32" s="34"/>
      <c r="D32" s="34"/>
      <c r="E32" s="34"/>
      <c r="F32" s="34"/>
      <c r="G32" s="34"/>
      <c r="H32" s="34"/>
      <c r="I32" s="34"/>
      <c r="N32" s="21"/>
    </row>
    <row r="33" spans="1:14" x14ac:dyDescent="0.2">
      <c r="A33" s="330"/>
      <c r="B33" s="320"/>
      <c r="C33" s="320"/>
      <c r="D33" s="320"/>
      <c r="E33" s="320"/>
      <c r="F33" s="321"/>
      <c r="G33" s="34"/>
      <c r="H33" s="34"/>
      <c r="I33" s="34"/>
    </row>
    <row r="34" spans="1:14" x14ac:dyDescent="0.2">
      <c r="A34" s="34"/>
      <c r="B34" s="34"/>
      <c r="C34" s="34"/>
      <c r="D34" s="34"/>
      <c r="E34" s="34"/>
      <c r="F34" s="34"/>
      <c r="G34" s="34"/>
      <c r="H34" s="34"/>
      <c r="I34" s="34"/>
    </row>
    <row r="35" spans="1:14" x14ac:dyDescent="0.2">
      <c r="A35" s="34"/>
      <c r="B35" s="34"/>
      <c r="C35" s="34"/>
      <c r="D35" s="34"/>
      <c r="E35" s="34"/>
      <c r="F35" s="34"/>
      <c r="G35" s="34"/>
      <c r="H35" s="34"/>
      <c r="I35" s="34"/>
    </row>
    <row r="36" spans="1:14" ht="19" x14ac:dyDescent="0.25">
      <c r="A36" s="317" t="s">
        <v>334</v>
      </c>
      <c r="B36" s="34"/>
      <c r="C36" s="34"/>
      <c r="D36" s="34"/>
      <c r="E36" s="34"/>
      <c r="F36" s="34"/>
      <c r="G36" s="34"/>
      <c r="H36" s="34"/>
      <c r="I36" s="34"/>
      <c r="N36" s="23"/>
    </row>
    <row r="37" spans="1:14" x14ac:dyDescent="0.2">
      <c r="A37" s="34"/>
      <c r="B37" s="34"/>
      <c r="C37" s="34"/>
      <c r="D37" s="34"/>
      <c r="E37" s="34"/>
      <c r="F37" s="34"/>
      <c r="G37" s="34"/>
      <c r="H37" s="34"/>
      <c r="I37" s="34"/>
    </row>
    <row r="38" spans="1:14" ht="16" x14ac:dyDescent="0.2">
      <c r="A38" s="318" t="s">
        <v>319</v>
      </c>
      <c r="B38" s="34"/>
      <c r="C38" s="34"/>
      <c r="D38" s="34"/>
      <c r="E38" s="34"/>
      <c r="F38" s="34"/>
      <c r="G38" s="34"/>
      <c r="H38" s="34"/>
      <c r="I38" s="34"/>
      <c r="N38" s="21"/>
    </row>
    <row r="39" spans="1:14" ht="15" customHeight="1" x14ac:dyDescent="0.2">
      <c r="A39" s="326" t="s">
        <v>350</v>
      </c>
      <c r="B39" s="34"/>
      <c r="C39" s="34"/>
      <c r="D39" s="34"/>
      <c r="E39" s="34"/>
      <c r="F39" s="34"/>
      <c r="G39" s="34"/>
      <c r="H39" s="34"/>
      <c r="I39" s="34"/>
      <c r="N39" s="24"/>
    </row>
    <row r="40" spans="1:14" ht="5" customHeight="1" x14ac:dyDescent="0.2">
      <c r="A40" s="34"/>
      <c r="B40" s="34"/>
      <c r="C40" s="34"/>
      <c r="D40" s="34"/>
      <c r="E40" s="34"/>
      <c r="F40" s="34"/>
      <c r="G40" s="34"/>
      <c r="H40" s="34"/>
      <c r="I40" s="34"/>
    </row>
    <row r="41" spans="1:14" x14ac:dyDescent="0.2">
      <c r="A41" s="34" t="s">
        <v>30</v>
      </c>
      <c r="B41" s="34"/>
      <c r="C41" s="34"/>
      <c r="D41" s="34"/>
      <c r="E41" s="34" t="s">
        <v>322</v>
      </c>
      <c r="F41" s="34"/>
      <c r="G41" s="34"/>
      <c r="H41" s="34"/>
      <c r="I41" s="34"/>
    </row>
    <row r="42" spans="1:14" x14ac:dyDescent="0.2">
      <c r="A42" s="34"/>
      <c r="B42" s="34"/>
      <c r="C42" s="34"/>
      <c r="D42" s="34"/>
      <c r="E42" s="34"/>
      <c r="F42" s="34"/>
      <c r="G42" s="34"/>
      <c r="H42" s="34"/>
      <c r="I42" s="34"/>
    </row>
    <row r="43" spans="1:14" ht="16" x14ac:dyDescent="0.2">
      <c r="A43" s="318" t="s">
        <v>351</v>
      </c>
      <c r="B43" s="34"/>
      <c r="C43" s="34"/>
      <c r="D43" s="34"/>
      <c r="E43" s="34"/>
      <c r="F43" s="34"/>
      <c r="G43" s="34"/>
      <c r="H43" s="34"/>
      <c r="I43" s="34"/>
      <c r="N43" s="21"/>
    </row>
    <row r="44" spans="1:14" x14ac:dyDescent="0.2">
      <c r="A44" s="326" t="s">
        <v>350</v>
      </c>
      <c r="B44" s="34"/>
      <c r="C44" s="34"/>
      <c r="D44" s="34"/>
      <c r="E44" s="34"/>
      <c r="F44" s="34"/>
      <c r="G44" s="34"/>
      <c r="H44" s="34"/>
      <c r="I44" s="34"/>
      <c r="N44" s="24"/>
    </row>
    <row r="45" spans="1:14" ht="5" customHeight="1" x14ac:dyDescent="0.2">
      <c r="A45" s="34"/>
      <c r="B45" s="34"/>
      <c r="C45" s="34"/>
      <c r="D45" s="34"/>
      <c r="E45" s="34"/>
      <c r="F45" s="34"/>
      <c r="G45" s="34"/>
      <c r="H45" s="34"/>
      <c r="I45" s="34"/>
    </row>
    <row r="46" spans="1:14" x14ac:dyDescent="0.2">
      <c r="A46" s="34" t="s">
        <v>352</v>
      </c>
      <c r="B46" s="34"/>
      <c r="C46" s="34" t="s">
        <v>353</v>
      </c>
      <c r="D46" s="34"/>
      <c r="E46" s="34" t="s">
        <v>354</v>
      </c>
      <c r="F46" s="34"/>
      <c r="G46" s="34" t="s">
        <v>355</v>
      </c>
      <c r="H46" s="34"/>
      <c r="I46" s="34"/>
    </row>
    <row r="47" spans="1:14" x14ac:dyDescent="0.2">
      <c r="A47" s="34"/>
      <c r="B47" s="34"/>
      <c r="C47" s="34"/>
      <c r="D47" s="34"/>
      <c r="E47" s="34"/>
      <c r="F47" s="34"/>
      <c r="G47" s="34"/>
      <c r="H47" s="34"/>
      <c r="I47" s="34"/>
    </row>
    <row r="48" spans="1:14" x14ac:dyDescent="0.2">
      <c r="A48" s="34"/>
      <c r="B48" s="34"/>
      <c r="C48" s="34"/>
      <c r="D48" s="34"/>
      <c r="E48" s="34"/>
      <c r="F48" s="34"/>
      <c r="G48" s="34"/>
      <c r="H48" s="34"/>
      <c r="I48" s="34"/>
    </row>
    <row r="49" spans="1:19" ht="19" x14ac:dyDescent="0.25">
      <c r="A49" s="317" t="s">
        <v>335</v>
      </c>
      <c r="B49" s="34"/>
      <c r="C49" s="34"/>
      <c r="D49" s="34"/>
      <c r="E49" s="34"/>
      <c r="F49" s="34"/>
      <c r="G49" s="34"/>
      <c r="H49" s="34"/>
      <c r="I49" s="34"/>
      <c r="N49" s="23"/>
    </row>
    <row r="50" spans="1:19" x14ac:dyDescent="0.2">
      <c r="A50" s="34"/>
      <c r="B50" s="34"/>
      <c r="C50" s="34"/>
      <c r="D50" s="34"/>
      <c r="E50" s="34"/>
      <c r="F50" s="34"/>
      <c r="G50" s="34"/>
      <c r="H50" s="34"/>
      <c r="I50" s="34"/>
    </row>
    <row r="51" spans="1:19" ht="16" x14ac:dyDescent="0.2">
      <c r="A51" s="318" t="s">
        <v>323</v>
      </c>
      <c r="B51" s="34"/>
      <c r="C51" s="34"/>
      <c r="D51" s="34"/>
      <c r="E51" s="34"/>
      <c r="F51" s="34"/>
      <c r="G51" s="34"/>
      <c r="H51" s="34"/>
      <c r="I51" s="34"/>
      <c r="N51" s="21"/>
    </row>
    <row r="52" spans="1:19" x14ac:dyDescent="0.2">
      <c r="A52" s="326" t="s">
        <v>350</v>
      </c>
      <c r="B52" s="34"/>
      <c r="C52" s="34"/>
      <c r="D52" s="34"/>
      <c r="E52" s="34"/>
      <c r="F52" s="34"/>
      <c r="G52" s="34"/>
      <c r="H52" s="34"/>
      <c r="I52" s="34"/>
      <c r="N52" s="24"/>
    </row>
    <row r="53" spans="1:19" ht="5" customHeight="1" x14ac:dyDescent="0.2">
      <c r="A53" s="34"/>
      <c r="B53" s="34"/>
      <c r="C53" s="34"/>
      <c r="D53" s="34"/>
      <c r="E53" s="34"/>
      <c r="F53" s="34"/>
      <c r="G53" s="34"/>
      <c r="H53" s="34"/>
      <c r="I53" s="34"/>
    </row>
    <row r="54" spans="1:19" x14ac:dyDescent="0.2">
      <c r="A54" s="34" t="s">
        <v>356</v>
      </c>
      <c r="B54" s="34" t="s">
        <v>325</v>
      </c>
      <c r="C54" s="34"/>
      <c r="D54" s="34" t="s">
        <v>357</v>
      </c>
      <c r="E54" s="34"/>
      <c r="F54" s="34" t="s">
        <v>326</v>
      </c>
      <c r="G54" s="34"/>
      <c r="H54" s="34" t="s">
        <v>327</v>
      </c>
      <c r="I54" s="34"/>
    </row>
    <row r="55" spans="1:19" x14ac:dyDescent="0.2">
      <c r="A55" s="34"/>
      <c r="B55" s="34" t="s">
        <v>358</v>
      </c>
      <c r="C55" s="34"/>
      <c r="D55" s="34" t="s">
        <v>359</v>
      </c>
      <c r="E55" s="34"/>
      <c r="F55" s="331" t="s">
        <v>360</v>
      </c>
      <c r="G55" s="34"/>
      <c r="H55" s="34" t="s">
        <v>377</v>
      </c>
      <c r="I55" s="34"/>
      <c r="K55" s="20"/>
      <c r="S55" s="20"/>
    </row>
    <row r="56" spans="1:19" x14ac:dyDescent="0.2">
      <c r="A56" s="34"/>
      <c r="B56" s="34"/>
      <c r="C56" s="34"/>
      <c r="D56" s="34"/>
      <c r="E56" s="34"/>
      <c r="F56" s="34"/>
      <c r="G56" s="34"/>
      <c r="H56" s="34"/>
      <c r="I56" s="34"/>
    </row>
    <row r="57" spans="1:19" ht="16" x14ac:dyDescent="0.2">
      <c r="A57" s="318" t="s">
        <v>361</v>
      </c>
      <c r="B57" s="34"/>
      <c r="C57" s="34"/>
      <c r="D57" s="34"/>
      <c r="E57" s="34"/>
      <c r="F57" s="34"/>
      <c r="G57" s="34"/>
      <c r="H57" s="34"/>
      <c r="I57" s="34"/>
      <c r="N57" s="21"/>
    </row>
    <row r="58" spans="1:19" x14ac:dyDescent="0.2">
      <c r="A58" s="326" t="s">
        <v>350</v>
      </c>
      <c r="B58" s="34"/>
      <c r="C58" s="34"/>
      <c r="D58" s="34"/>
      <c r="E58" s="34"/>
      <c r="F58" s="34"/>
      <c r="G58" s="34"/>
      <c r="H58" s="34"/>
      <c r="I58" s="34"/>
      <c r="N58" s="24"/>
    </row>
    <row r="59" spans="1:19" ht="5" customHeight="1" x14ac:dyDescent="0.2">
      <c r="A59" s="34"/>
      <c r="B59" s="34"/>
      <c r="C59" s="34"/>
      <c r="D59" s="34"/>
      <c r="E59" s="34"/>
      <c r="F59" s="34"/>
      <c r="G59" s="34"/>
      <c r="H59" s="34"/>
      <c r="I59" s="34"/>
    </row>
    <row r="60" spans="1:19" x14ac:dyDescent="0.2">
      <c r="A60" s="34" t="s">
        <v>362</v>
      </c>
      <c r="B60" s="34"/>
      <c r="C60" s="34" t="s">
        <v>279</v>
      </c>
      <c r="D60" s="34"/>
      <c r="E60" s="34" t="s">
        <v>363</v>
      </c>
      <c r="F60" s="34"/>
      <c r="G60" s="34" t="s">
        <v>364</v>
      </c>
      <c r="H60" s="34"/>
      <c r="I60" s="34"/>
    </row>
    <row r="61" spans="1:19" x14ac:dyDescent="0.2">
      <c r="A61" s="34"/>
      <c r="B61" s="34"/>
      <c r="C61" s="34"/>
      <c r="D61" s="34"/>
      <c r="E61" s="34"/>
      <c r="F61" s="34"/>
      <c r="G61" s="34"/>
      <c r="H61" s="34"/>
      <c r="I61" s="34"/>
    </row>
    <row r="62" spans="1:19" x14ac:dyDescent="0.2">
      <c r="A62" s="34"/>
      <c r="B62" s="34"/>
      <c r="C62" s="34"/>
      <c r="D62" s="34"/>
      <c r="E62" s="34"/>
      <c r="F62" s="34"/>
      <c r="G62" s="34"/>
      <c r="H62" s="34"/>
      <c r="I62" s="34"/>
    </row>
    <row r="63" spans="1:19" ht="16" x14ac:dyDescent="0.2">
      <c r="A63" s="318" t="s">
        <v>324</v>
      </c>
      <c r="B63" s="34"/>
      <c r="C63" s="34"/>
      <c r="D63" s="34"/>
      <c r="E63" s="34"/>
      <c r="F63" s="34"/>
      <c r="G63" s="34"/>
      <c r="H63" s="34"/>
      <c r="I63" s="34"/>
      <c r="N63" s="21"/>
    </row>
    <row r="64" spans="1:19" x14ac:dyDescent="0.2">
      <c r="A64" s="326" t="s">
        <v>350</v>
      </c>
      <c r="B64" s="34"/>
      <c r="C64" s="34"/>
      <c r="D64" s="34"/>
      <c r="E64" s="34"/>
      <c r="F64" s="34"/>
      <c r="G64" s="34"/>
      <c r="H64" s="34"/>
      <c r="I64" s="34"/>
      <c r="N64" s="24"/>
    </row>
    <row r="65" spans="1:20" ht="5" customHeight="1" x14ac:dyDescent="0.2">
      <c r="A65" s="34"/>
      <c r="B65" s="34"/>
      <c r="C65" s="34"/>
      <c r="D65" s="34"/>
      <c r="E65" s="34"/>
      <c r="F65" s="34"/>
      <c r="G65" s="34"/>
      <c r="H65" s="34"/>
      <c r="I65" s="34"/>
    </row>
    <row r="66" spans="1:20" ht="16" customHeight="1" x14ac:dyDescent="0.2">
      <c r="A66" s="34" t="s">
        <v>365</v>
      </c>
      <c r="B66" s="34" t="s">
        <v>366</v>
      </c>
      <c r="C66" s="34"/>
      <c r="D66" s="332" t="s">
        <v>378</v>
      </c>
      <c r="E66" s="332"/>
      <c r="F66" s="332"/>
      <c r="G66" s="34"/>
      <c r="H66" s="318" t="s">
        <v>328</v>
      </c>
      <c r="I66" s="34"/>
      <c r="J66" s="26"/>
      <c r="L66" s="21"/>
      <c r="R66" s="26"/>
      <c r="T66" s="21"/>
    </row>
    <row r="67" spans="1:20" x14ac:dyDescent="0.2">
      <c r="A67" s="34"/>
      <c r="B67" s="34"/>
      <c r="C67" s="34"/>
      <c r="D67" s="34"/>
      <c r="E67" s="333"/>
      <c r="F67" s="34"/>
      <c r="G67" s="34"/>
      <c r="H67" s="34"/>
      <c r="I67" s="34"/>
      <c r="J67" s="26"/>
      <c r="R67" s="26"/>
    </row>
    <row r="68" spans="1:20" x14ac:dyDescent="0.2">
      <c r="A68" s="34"/>
      <c r="B68" s="34"/>
      <c r="C68" s="34"/>
      <c r="D68" s="34"/>
      <c r="E68" s="34"/>
      <c r="F68" s="34"/>
      <c r="G68" s="34"/>
      <c r="H68" s="34"/>
      <c r="I68" s="34"/>
    </row>
    <row r="69" spans="1:20" ht="16" x14ac:dyDescent="0.2">
      <c r="A69" s="318" t="s">
        <v>368</v>
      </c>
      <c r="B69" s="34"/>
      <c r="C69" s="34"/>
      <c r="D69" s="34"/>
      <c r="E69" s="34"/>
      <c r="F69" s="34"/>
      <c r="G69" s="34"/>
      <c r="H69" s="34"/>
      <c r="I69" s="34"/>
      <c r="N69" s="21"/>
    </row>
    <row r="70" spans="1:20" x14ac:dyDescent="0.2">
      <c r="A70" s="326" t="s">
        <v>350</v>
      </c>
      <c r="B70" s="34"/>
      <c r="C70" s="34"/>
      <c r="D70" s="34"/>
      <c r="E70" s="34"/>
      <c r="F70" s="34"/>
      <c r="G70" s="34"/>
      <c r="H70" s="34"/>
      <c r="I70" s="34"/>
      <c r="N70" s="24"/>
    </row>
    <row r="71" spans="1:20" ht="5" customHeight="1" x14ac:dyDescent="0.2">
      <c r="A71" s="34"/>
      <c r="B71" s="34"/>
      <c r="C71" s="34"/>
      <c r="D71" s="34"/>
      <c r="E71" s="34"/>
      <c r="F71" s="34"/>
      <c r="G71" s="34"/>
      <c r="H71" s="34"/>
      <c r="I71" s="34"/>
    </row>
    <row r="72" spans="1:20" x14ac:dyDescent="0.2">
      <c r="A72" s="34" t="s">
        <v>369</v>
      </c>
      <c r="B72" s="34"/>
      <c r="C72" s="34" t="s">
        <v>370</v>
      </c>
      <c r="D72" s="34"/>
      <c r="E72" s="34" t="s">
        <v>371</v>
      </c>
      <c r="F72" s="34"/>
      <c r="G72" s="34"/>
      <c r="H72" s="34"/>
      <c r="I72" s="34"/>
    </row>
    <row r="73" spans="1:20" x14ac:dyDescent="0.2">
      <c r="A73" s="34" t="s">
        <v>372</v>
      </c>
      <c r="B73" s="34"/>
      <c r="C73" s="34" t="s">
        <v>373</v>
      </c>
      <c r="D73" s="34"/>
      <c r="E73" s="34" t="s">
        <v>374</v>
      </c>
      <c r="F73" s="34"/>
      <c r="G73" s="34"/>
      <c r="H73" s="34"/>
      <c r="I73" s="34"/>
    </row>
  </sheetData>
  <sheetProtection algorithmName="SHA-512" hashValue="0Iog9dOg3xy0otoBGBKWCRd5wnTZTpWeIUHqiwB/sUNNPaGpFiuby1z4zfUy9yFN+Ce4QwKRL/AqOhi1XR5AAQ==" saltValue="u4XJNmKcGFTnVTMgrxBfrg==" spinCount="100000" sheet="1" objects="1" scenarios="1"/>
  <mergeCells count="2">
    <mergeCell ref="A1:H1"/>
    <mergeCell ref="A2:H3"/>
  </mergeCells>
  <printOptions horizontalCentered="1" verticalCentered="1"/>
  <pageMargins left="0.1" right="0.1" top="0.25" bottom="0.25" header="0.1" footer="0.1"/>
  <pageSetup scale="74"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27B80-4BC9-CE46-8AA7-D3E71D69AA1F}">
  <sheetPr>
    <pageSetUpPr fitToPage="1"/>
  </sheetPr>
  <dimension ref="A1:AB77"/>
  <sheetViews>
    <sheetView topLeftCell="A50" zoomScale="87" zoomScaleNormal="119" zoomScaleSheetLayoutView="89" zoomScalePageLayoutView="79" workbookViewId="0">
      <selection activeCell="T72" sqref="T72"/>
    </sheetView>
  </sheetViews>
  <sheetFormatPr baseColWidth="10" defaultRowHeight="15" x14ac:dyDescent="0.2"/>
  <cols>
    <col min="1" max="1" width="12.83203125" style="1" customWidth="1"/>
    <col min="2" max="2" width="1.83203125" style="1" customWidth="1"/>
    <col min="3" max="3" width="10.83203125" style="1"/>
    <col min="4" max="4" width="1.83203125" style="1" customWidth="1"/>
    <col min="5" max="5" width="12.83203125" style="1" customWidth="1"/>
    <col min="6" max="6" width="5.83203125" style="1" customWidth="1"/>
    <col min="7" max="7" width="9.83203125" style="1" customWidth="1"/>
    <col min="8" max="8" width="8.5" style="1" customWidth="1"/>
    <col min="9" max="9" width="10.83203125" style="1" customWidth="1"/>
    <col min="10" max="10" width="10.83203125" style="1"/>
    <col min="11" max="11" width="10.83203125" style="1" customWidth="1"/>
    <col min="12" max="12" width="10.6640625" style="1" customWidth="1"/>
    <col min="13" max="15" width="10.83203125" style="1" customWidth="1"/>
    <col min="16" max="16" width="10.83203125" style="1"/>
    <col min="17" max="23" width="10.83203125" style="1" customWidth="1"/>
    <col min="24" max="24" width="9.83203125" style="1" customWidth="1"/>
    <col min="25" max="25" width="10.83203125" style="1" customWidth="1"/>
    <col min="26" max="16384" width="10.83203125" style="1"/>
  </cols>
  <sheetData>
    <row r="1" spans="1:28" ht="29" x14ac:dyDescent="0.35">
      <c r="A1" s="386" t="s">
        <v>332</v>
      </c>
      <c r="B1" s="386"/>
      <c r="C1" s="386"/>
      <c r="D1" s="386"/>
      <c r="E1" s="386"/>
      <c r="F1" s="386"/>
      <c r="G1" s="386"/>
      <c r="H1" s="386"/>
      <c r="I1" s="386"/>
      <c r="J1" s="386"/>
      <c r="K1" s="25"/>
      <c r="L1" s="25"/>
      <c r="M1" s="25"/>
      <c r="N1" s="25"/>
      <c r="O1" s="25"/>
      <c r="P1" s="25"/>
      <c r="Q1" s="25"/>
      <c r="R1" s="25"/>
      <c r="S1" s="25"/>
      <c r="T1" s="25"/>
      <c r="U1" s="25"/>
      <c r="V1" s="25"/>
      <c r="W1" s="25"/>
      <c r="X1" s="25"/>
      <c r="Y1" s="25"/>
      <c r="Z1" s="25"/>
      <c r="AA1" s="25"/>
      <c r="AB1" s="25"/>
    </row>
    <row r="2" spans="1:28" ht="18" customHeight="1" x14ac:dyDescent="0.3">
      <c r="A2" s="387" t="s">
        <v>338</v>
      </c>
      <c r="B2" s="387"/>
      <c r="C2" s="387"/>
      <c r="D2" s="387"/>
      <c r="E2" s="387"/>
      <c r="F2" s="387"/>
      <c r="G2" s="387"/>
      <c r="H2" s="387"/>
      <c r="I2" s="387"/>
      <c r="J2" s="387"/>
      <c r="K2" s="25"/>
      <c r="L2" s="25"/>
      <c r="M2" s="25"/>
      <c r="N2" s="25"/>
      <c r="O2" s="25"/>
      <c r="P2" s="25"/>
      <c r="Q2" s="25"/>
      <c r="R2" s="25"/>
      <c r="S2" s="25"/>
      <c r="T2" s="25"/>
      <c r="U2" s="25"/>
      <c r="V2" s="25"/>
      <c r="W2" s="25"/>
      <c r="X2" s="25"/>
      <c r="Y2" s="25"/>
      <c r="Z2" s="25"/>
      <c r="AA2" s="25"/>
      <c r="AB2" s="25"/>
    </row>
    <row r="3" spans="1:28" ht="20" customHeight="1" x14ac:dyDescent="0.3">
      <c r="A3" s="387"/>
      <c r="B3" s="387"/>
      <c r="C3" s="387"/>
      <c r="D3" s="387"/>
      <c r="E3" s="387"/>
      <c r="F3" s="387"/>
      <c r="G3" s="387"/>
      <c r="H3" s="387"/>
      <c r="I3" s="387"/>
      <c r="J3" s="387"/>
      <c r="K3" s="25"/>
      <c r="L3" s="25"/>
      <c r="M3" s="25"/>
      <c r="N3" s="25"/>
      <c r="O3" s="25"/>
      <c r="P3" s="25"/>
      <c r="Q3" s="25"/>
      <c r="R3" s="25"/>
      <c r="S3" s="25"/>
      <c r="T3" s="25"/>
      <c r="U3" s="25"/>
      <c r="V3" s="25"/>
      <c r="W3" s="25"/>
      <c r="X3" s="25"/>
      <c r="Y3" s="25"/>
      <c r="Z3" s="25"/>
      <c r="AA3" s="25"/>
      <c r="AB3" s="25"/>
    </row>
    <row r="4" spans="1:28" ht="15" customHeight="1" x14ac:dyDescent="0.3">
      <c r="A4" s="34"/>
      <c r="B4" s="34"/>
      <c r="C4" s="34"/>
      <c r="D4" s="34"/>
      <c r="E4" s="34"/>
      <c r="F4" s="34"/>
      <c r="G4" s="34"/>
      <c r="H4" s="34"/>
      <c r="I4" s="34"/>
      <c r="J4" s="34"/>
      <c r="K4" s="25"/>
      <c r="L4" s="25"/>
      <c r="M4" s="25"/>
      <c r="N4" s="25"/>
      <c r="O4" s="25"/>
      <c r="P4" s="25"/>
      <c r="Q4" s="25"/>
      <c r="R4" s="25"/>
      <c r="S4" s="25"/>
      <c r="T4" s="25"/>
      <c r="U4" s="25"/>
      <c r="V4" s="25"/>
      <c r="W4" s="25"/>
      <c r="X4" s="25"/>
      <c r="Y4" s="25"/>
      <c r="Z4" s="25"/>
      <c r="AA4" s="25"/>
      <c r="AB4" s="25"/>
    </row>
    <row r="5" spans="1:28" ht="30" customHeight="1" x14ac:dyDescent="0.3">
      <c r="A5" s="334" t="s">
        <v>339</v>
      </c>
      <c r="B5" s="34"/>
      <c r="C5" s="34"/>
      <c r="D5" s="34"/>
      <c r="E5" s="34"/>
      <c r="F5" s="34"/>
      <c r="G5" s="34"/>
      <c r="H5" s="34"/>
      <c r="I5" s="34"/>
      <c r="J5" s="34"/>
      <c r="K5" s="25"/>
      <c r="L5" s="25"/>
      <c r="M5" s="25"/>
      <c r="N5" s="25"/>
      <c r="O5" s="25"/>
      <c r="P5" s="25"/>
      <c r="Q5" s="25"/>
      <c r="R5" s="25"/>
      <c r="S5" s="25"/>
      <c r="T5" s="25"/>
      <c r="U5" s="25"/>
      <c r="V5" s="25"/>
      <c r="W5" s="25"/>
      <c r="X5" s="25"/>
      <c r="Y5" s="25"/>
      <c r="Z5" s="25"/>
      <c r="AA5" s="25"/>
      <c r="AB5" s="25"/>
    </row>
    <row r="6" spans="1:28" ht="15" customHeight="1" x14ac:dyDescent="0.3">
      <c r="A6" s="34"/>
      <c r="B6" s="34"/>
      <c r="C6" s="34"/>
      <c r="D6" s="34"/>
      <c r="E6" s="34"/>
      <c r="F6" s="34"/>
      <c r="G6" s="34"/>
      <c r="H6" s="34"/>
      <c r="I6" s="34"/>
      <c r="J6" s="34"/>
      <c r="K6" s="25"/>
      <c r="L6" s="25"/>
      <c r="M6" s="25"/>
      <c r="N6" s="25"/>
      <c r="O6" s="25"/>
      <c r="P6" s="25"/>
      <c r="Q6" s="25"/>
      <c r="R6" s="25"/>
      <c r="S6" s="25"/>
      <c r="T6" s="25"/>
      <c r="U6" s="25"/>
      <c r="V6" s="25"/>
      <c r="W6" s="25"/>
      <c r="X6" s="25"/>
      <c r="Y6" s="25"/>
      <c r="Z6" s="25"/>
      <c r="AA6" s="25"/>
      <c r="AB6" s="25"/>
    </row>
    <row r="7" spans="1:28" ht="15" customHeight="1" x14ac:dyDescent="0.3">
      <c r="A7" s="34"/>
      <c r="B7" s="34"/>
      <c r="C7" s="34"/>
      <c r="D7" s="34"/>
      <c r="E7" s="34"/>
      <c r="F7" s="34"/>
      <c r="G7" s="34"/>
      <c r="H7" s="34"/>
      <c r="I7" s="34"/>
      <c r="J7" s="34"/>
      <c r="K7" s="25"/>
      <c r="L7" s="25"/>
      <c r="M7" s="25"/>
      <c r="N7" s="25"/>
      <c r="O7" s="25"/>
      <c r="P7" s="25"/>
      <c r="Q7" s="25"/>
      <c r="R7" s="25"/>
      <c r="S7" s="25"/>
      <c r="T7" s="25"/>
      <c r="U7" s="25"/>
      <c r="V7" s="25"/>
      <c r="W7" s="25"/>
      <c r="X7" s="25"/>
      <c r="Y7" s="25"/>
      <c r="Z7" s="25"/>
      <c r="AA7" s="25"/>
      <c r="AB7" s="25"/>
    </row>
    <row r="8" spans="1:28" ht="19" customHeight="1" x14ac:dyDescent="0.3">
      <c r="A8" s="315" t="s">
        <v>333</v>
      </c>
      <c r="B8" s="34"/>
      <c r="C8" s="34"/>
      <c r="D8" s="34"/>
      <c r="E8" s="34"/>
      <c r="F8" s="34"/>
      <c r="G8" s="34"/>
      <c r="H8" s="34"/>
      <c r="I8" s="34"/>
      <c r="J8" s="34"/>
      <c r="K8" s="25"/>
      <c r="L8" s="25"/>
      <c r="M8" s="25"/>
      <c r="N8" s="25"/>
      <c r="O8" s="25"/>
      <c r="P8" s="25"/>
      <c r="Q8" s="25"/>
      <c r="R8" s="25"/>
      <c r="S8" s="25"/>
      <c r="T8" s="25"/>
      <c r="U8" s="25"/>
      <c r="V8" s="25"/>
      <c r="W8" s="25"/>
      <c r="X8" s="25"/>
      <c r="Y8" s="25"/>
      <c r="Z8" s="25"/>
      <c r="AA8" s="25"/>
      <c r="AB8" s="25"/>
    </row>
    <row r="9" spans="1:28" ht="18" customHeight="1" x14ac:dyDescent="0.3">
      <c r="A9" s="34"/>
      <c r="B9" s="34"/>
      <c r="C9" s="34"/>
      <c r="D9" s="34"/>
      <c r="E9" s="34"/>
      <c r="F9" s="34"/>
      <c r="G9" s="34"/>
      <c r="H9" s="34"/>
      <c r="I9" s="34"/>
      <c r="J9" s="34"/>
      <c r="K9" s="25"/>
      <c r="L9" s="25"/>
      <c r="M9" s="25"/>
      <c r="N9" s="25"/>
      <c r="O9" s="25"/>
      <c r="P9" s="25"/>
      <c r="Q9" s="25"/>
      <c r="R9" s="25"/>
      <c r="S9" s="25"/>
      <c r="T9" s="25"/>
      <c r="U9" s="25"/>
      <c r="V9" s="25"/>
      <c r="W9" s="25"/>
      <c r="X9" s="25"/>
      <c r="Y9" s="25"/>
      <c r="Z9" s="25"/>
      <c r="AA9" s="25"/>
      <c r="AB9" s="25"/>
    </row>
    <row r="10" spans="1:28" ht="21" customHeight="1" x14ac:dyDescent="0.3">
      <c r="A10" s="335" t="s">
        <v>340</v>
      </c>
      <c r="B10" s="34"/>
      <c r="C10" s="34"/>
      <c r="D10" s="34"/>
      <c r="E10" s="34"/>
      <c r="F10" s="34"/>
      <c r="G10" s="335" t="s">
        <v>341</v>
      </c>
      <c r="H10" s="34"/>
      <c r="I10" s="34"/>
      <c r="J10" s="34"/>
      <c r="K10" s="25"/>
      <c r="L10" s="25"/>
      <c r="M10" s="25"/>
      <c r="N10" s="25"/>
      <c r="O10" s="25"/>
      <c r="P10" s="25"/>
      <c r="Q10" s="25"/>
      <c r="R10" s="25"/>
      <c r="S10" s="25"/>
      <c r="T10" s="25"/>
      <c r="U10" s="25"/>
      <c r="V10" s="25"/>
      <c r="W10" s="25"/>
      <c r="X10" s="25"/>
      <c r="Y10" s="25"/>
      <c r="Z10" s="25"/>
      <c r="AA10" s="25"/>
      <c r="AB10" s="25"/>
    </row>
    <row r="11" spans="1:28" ht="24" customHeight="1" x14ac:dyDescent="0.3">
      <c r="A11" s="322"/>
      <c r="B11" s="320"/>
      <c r="C11" s="320"/>
      <c r="D11" s="320"/>
      <c r="E11" s="321"/>
      <c r="F11" s="34"/>
      <c r="G11" s="322"/>
      <c r="H11" s="320"/>
      <c r="I11" s="320"/>
      <c r="J11" s="320"/>
      <c r="K11" s="32"/>
      <c r="L11" s="25"/>
      <c r="M11" s="25"/>
      <c r="N11" s="25"/>
      <c r="O11" s="25"/>
      <c r="P11" s="25"/>
      <c r="Q11" s="25"/>
      <c r="R11" s="25"/>
      <c r="S11" s="25"/>
      <c r="T11" s="25"/>
      <c r="U11" s="25"/>
      <c r="V11" s="25"/>
      <c r="W11" s="25"/>
      <c r="X11" s="25"/>
      <c r="Y11" s="25"/>
      <c r="Z11" s="25"/>
      <c r="AA11" s="25"/>
      <c r="AB11" s="25"/>
    </row>
    <row r="12" spans="1:28" ht="15" customHeight="1" x14ac:dyDescent="0.3">
      <c r="A12" s="34"/>
      <c r="B12" s="34"/>
      <c r="C12" s="34"/>
      <c r="D12" s="34"/>
      <c r="E12" s="34"/>
      <c r="F12" s="34"/>
      <c r="G12" s="34"/>
      <c r="H12" s="34"/>
      <c r="I12" s="34"/>
      <c r="J12" s="34"/>
      <c r="K12" s="25"/>
      <c r="L12" s="25"/>
      <c r="M12" s="25"/>
      <c r="N12" s="25"/>
      <c r="O12" s="25"/>
      <c r="P12" s="25"/>
      <c r="Q12" s="25"/>
      <c r="R12" s="25"/>
      <c r="S12" s="25"/>
      <c r="T12" s="25"/>
      <c r="U12" s="25"/>
      <c r="V12" s="25"/>
      <c r="W12" s="25"/>
      <c r="X12" s="25"/>
      <c r="Y12" s="25"/>
      <c r="Z12" s="25"/>
      <c r="AA12" s="25"/>
      <c r="AB12" s="25"/>
    </row>
    <row r="13" spans="1:28" ht="15" customHeight="1" x14ac:dyDescent="0.3">
      <c r="A13" s="34"/>
      <c r="B13" s="34"/>
      <c r="C13" s="34"/>
      <c r="D13" s="34"/>
      <c r="E13" s="34"/>
      <c r="F13" s="34"/>
      <c r="G13" s="34"/>
      <c r="H13" s="34"/>
      <c r="I13" s="34"/>
      <c r="J13" s="34"/>
      <c r="K13" s="25"/>
      <c r="L13" s="25"/>
      <c r="M13" s="25"/>
      <c r="N13" s="25"/>
      <c r="O13" s="25"/>
      <c r="P13" s="25"/>
      <c r="Q13" s="25"/>
      <c r="R13" s="25"/>
      <c r="S13" s="25"/>
      <c r="T13" s="25"/>
      <c r="U13" s="25"/>
      <c r="V13" s="25"/>
      <c r="W13" s="25"/>
      <c r="X13" s="25"/>
      <c r="Y13" s="25"/>
      <c r="Z13" s="25"/>
      <c r="AA13" s="25"/>
      <c r="AB13" s="25"/>
    </row>
    <row r="14" spans="1:28" ht="19" customHeight="1" x14ac:dyDescent="0.3">
      <c r="A14" s="336" t="s">
        <v>321</v>
      </c>
      <c r="B14" s="336"/>
      <c r="C14" s="336"/>
      <c r="D14" s="34"/>
      <c r="E14" s="34"/>
      <c r="F14" s="34"/>
      <c r="G14" s="34"/>
      <c r="H14" s="335" t="s">
        <v>318</v>
      </c>
      <c r="I14" s="34"/>
      <c r="J14" s="34"/>
      <c r="K14" s="25"/>
      <c r="L14" s="25"/>
      <c r="M14" s="25"/>
      <c r="N14" s="25"/>
      <c r="O14" s="25"/>
      <c r="P14" s="25"/>
      <c r="Q14" s="25"/>
      <c r="R14" s="25"/>
      <c r="S14" s="25"/>
      <c r="T14" s="25"/>
      <c r="U14" s="25"/>
      <c r="V14" s="25"/>
      <c r="W14" s="25"/>
      <c r="X14" s="25"/>
      <c r="Y14" s="25"/>
      <c r="Z14" s="25"/>
      <c r="AA14" s="25"/>
      <c r="AB14" s="25"/>
    </row>
    <row r="15" spans="1:28" ht="23" customHeight="1" x14ac:dyDescent="0.3">
      <c r="A15" s="324"/>
      <c r="B15" s="34"/>
      <c r="C15" s="324"/>
      <c r="D15" s="34"/>
      <c r="E15" s="324"/>
      <c r="F15" s="34"/>
      <c r="G15" s="34"/>
      <c r="H15" s="325"/>
      <c r="I15" s="34"/>
      <c r="J15" s="34"/>
      <c r="K15" s="25"/>
      <c r="L15" s="25"/>
      <c r="M15" s="25"/>
      <c r="N15" s="25"/>
      <c r="O15" s="25"/>
      <c r="P15" s="25"/>
      <c r="Q15" s="25"/>
      <c r="R15" s="25"/>
      <c r="S15" s="25"/>
      <c r="T15" s="25"/>
      <c r="U15" s="25"/>
      <c r="V15" s="25"/>
      <c r="W15" s="25"/>
      <c r="X15" s="25"/>
      <c r="Y15" s="25"/>
      <c r="Z15" s="25"/>
      <c r="AA15" s="25"/>
      <c r="AB15" s="25"/>
    </row>
    <row r="16" spans="1:28" ht="18" customHeight="1" x14ac:dyDescent="0.3">
      <c r="A16" s="323" t="s">
        <v>343</v>
      </c>
      <c r="B16" s="34"/>
      <c r="C16" s="323" t="s">
        <v>344</v>
      </c>
      <c r="D16" s="34"/>
      <c r="E16" s="323" t="s">
        <v>345</v>
      </c>
      <c r="F16" s="34"/>
      <c r="G16" s="34"/>
      <c r="H16" s="34"/>
      <c r="I16" s="34"/>
      <c r="J16" s="326"/>
      <c r="K16" s="25"/>
      <c r="L16" s="25"/>
      <c r="M16" s="25"/>
      <c r="N16" s="25"/>
      <c r="O16" s="25"/>
      <c r="P16" s="25"/>
      <c r="Q16" s="25"/>
      <c r="R16" s="25"/>
      <c r="S16" s="25"/>
      <c r="T16" s="25"/>
      <c r="U16" s="25"/>
      <c r="V16" s="25"/>
      <c r="W16" s="25"/>
      <c r="X16" s="25"/>
      <c r="Y16" s="25"/>
      <c r="Z16" s="25"/>
      <c r="AA16" s="25"/>
      <c r="AB16" s="25"/>
    </row>
    <row r="17" spans="1:28" ht="15" customHeight="1" x14ac:dyDescent="0.3">
      <c r="A17" s="34"/>
      <c r="B17" s="34"/>
      <c r="C17" s="34"/>
      <c r="D17" s="34"/>
      <c r="E17" s="34"/>
      <c r="F17" s="34"/>
      <c r="G17" s="34"/>
      <c r="H17" s="34"/>
      <c r="I17" s="34"/>
      <c r="J17" s="34"/>
      <c r="K17" s="25"/>
      <c r="L17" s="25"/>
      <c r="M17" s="25"/>
      <c r="N17" s="25"/>
      <c r="O17" s="25"/>
      <c r="P17" s="25"/>
      <c r="Q17" s="25"/>
      <c r="R17" s="25"/>
      <c r="S17" s="25"/>
      <c r="T17" s="25"/>
      <c r="U17" s="25"/>
      <c r="V17" s="25"/>
      <c r="W17" s="25"/>
      <c r="X17" s="25"/>
      <c r="Y17" s="25"/>
      <c r="Z17" s="25"/>
      <c r="AA17" s="25"/>
      <c r="AB17" s="25"/>
    </row>
    <row r="18" spans="1:28" ht="19" customHeight="1" x14ac:dyDescent="0.3">
      <c r="A18" s="337" t="s">
        <v>320</v>
      </c>
      <c r="B18" s="34"/>
      <c r="C18" s="34"/>
      <c r="D18" s="34"/>
      <c r="E18" s="34"/>
      <c r="F18" s="34"/>
      <c r="G18" s="34"/>
      <c r="H18" s="34"/>
      <c r="I18" s="34"/>
      <c r="J18" s="34"/>
      <c r="K18" s="25"/>
      <c r="L18" s="25"/>
      <c r="M18" s="25"/>
      <c r="N18" s="25"/>
      <c r="O18" s="25"/>
      <c r="P18" s="25"/>
      <c r="Q18" s="25"/>
      <c r="R18" s="25"/>
      <c r="S18" s="25"/>
      <c r="T18" s="25"/>
      <c r="U18" s="25"/>
      <c r="V18" s="25"/>
      <c r="W18" s="25"/>
      <c r="X18" s="25"/>
      <c r="Y18" s="25"/>
      <c r="Z18" s="25"/>
      <c r="AA18" s="25"/>
      <c r="AB18" s="25"/>
    </row>
    <row r="19" spans="1:28" ht="23" customHeight="1" x14ac:dyDescent="0.3">
      <c r="A19" s="322"/>
      <c r="B19" s="320"/>
      <c r="C19" s="320"/>
      <c r="D19" s="320"/>
      <c r="E19" s="320"/>
      <c r="F19" s="320"/>
      <c r="G19" s="320"/>
      <c r="H19" s="320"/>
      <c r="I19" s="320"/>
      <c r="J19" s="321"/>
      <c r="K19" s="25"/>
      <c r="L19" s="25"/>
      <c r="M19" s="25"/>
      <c r="N19" s="25"/>
      <c r="O19" s="25"/>
      <c r="P19" s="25"/>
      <c r="Q19" s="25"/>
      <c r="R19" s="25"/>
      <c r="S19" s="25"/>
      <c r="T19" s="25"/>
      <c r="U19" s="25"/>
      <c r="V19" s="25"/>
      <c r="W19" s="25"/>
      <c r="X19" s="25"/>
      <c r="Y19" s="25"/>
      <c r="Z19" s="25"/>
      <c r="AA19" s="25"/>
      <c r="AB19" s="25"/>
    </row>
    <row r="20" spans="1:28" ht="16" customHeight="1" x14ac:dyDescent="0.3">
      <c r="A20" s="338" t="s">
        <v>346</v>
      </c>
      <c r="B20" s="326"/>
      <c r="C20" s="326"/>
      <c r="D20" s="326"/>
      <c r="E20" s="326"/>
      <c r="F20" s="34"/>
      <c r="G20" s="34"/>
      <c r="H20" s="34"/>
      <c r="I20" s="326"/>
      <c r="J20" s="326"/>
      <c r="K20" s="25"/>
      <c r="L20" s="25"/>
      <c r="M20" s="25"/>
      <c r="N20" s="25"/>
      <c r="O20" s="25"/>
      <c r="P20" s="25"/>
      <c r="Q20" s="25"/>
      <c r="R20" s="25"/>
      <c r="S20" s="25"/>
      <c r="T20" s="25"/>
      <c r="U20" s="25"/>
      <c r="V20" s="25"/>
      <c r="W20" s="25"/>
      <c r="X20" s="25"/>
      <c r="Y20" s="25"/>
      <c r="Z20" s="25"/>
      <c r="AA20" s="25"/>
      <c r="AB20" s="25"/>
    </row>
    <row r="21" spans="1:28" ht="15" customHeight="1" x14ac:dyDescent="0.3">
      <c r="A21" s="34"/>
      <c r="B21" s="34"/>
      <c r="C21" s="34"/>
      <c r="D21" s="34"/>
      <c r="E21" s="34"/>
      <c r="F21" s="34"/>
      <c r="G21" s="34"/>
      <c r="H21" s="34"/>
      <c r="I21" s="34"/>
      <c r="J21" s="34"/>
      <c r="K21" s="25"/>
      <c r="L21" s="25"/>
      <c r="M21" s="25"/>
      <c r="N21" s="25"/>
      <c r="O21" s="25"/>
      <c r="P21" s="25"/>
      <c r="Q21" s="25"/>
      <c r="R21" s="25"/>
      <c r="S21" s="25"/>
      <c r="T21" s="25"/>
      <c r="U21" s="25"/>
      <c r="V21" s="25"/>
      <c r="W21" s="25"/>
      <c r="X21" s="25"/>
      <c r="Y21" s="25"/>
      <c r="Z21" s="25"/>
      <c r="AA21" s="25"/>
      <c r="AB21" s="25"/>
    </row>
    <row r="22" spans="1:28" ht="19" customHeight="1" x14ac:dyDescent="0.3">
      <c r="A22" s="337" t="s">
        <v>336</v>
      </c>
      <c r="B22" s="34"/>
      <c r="C22" s="34"/>
      <c r="D22" s="34"/>
      <c r="E22" s="34"/>
      <c r="F22" s="34"/>
      <c r="G22" s="34"/>
      <c r="H22" s="34"/>
      <c r="I22" s="34"/>
      <c r="J22" s="34"/>
      <c r="K22" s="25"/>
      <c r="L22" s="25"/>
      <c r="M22" s="25"/>
      <c r="N22" s="25"/>
      <c r="O22" s="25"/>
      <c r="P22" s="25"/>
      <c r="Q22" s="25"/>
      <c r="R22" s="25"/>
      <c r="S22" s="25"/>
      <c r="T22" s="25"/>
      <c r="U22" s="25"/>
      <c r="V22" s="25"/>
      <c r="W22" s="25"/>
      <c r="X22" s="25"/>
      <c r="Y22" s="25"/>
      <c r="Z22" s="25"/>
      <c r="AA22" s="25"/>
      <c r="AB22" s="25"/>
    </row>
    <row r="23" spans="1:28" ht="23" customHeight="1" x14ac:dyDescent="0.3">
      <c r="A23" s="322"/>
      <c r="B23" s="320"/>
      <c r="C23" s="320"/>
      <c r="D23" s="320"/>
      <c r="E23" s="320"/>
      <c r="F23" s="320"/>
      <c r="G23" s="320"/>
      <c r="H23" s="320"/>
      <c r="I23" s="320"/>
      <c r="J23" s="321"/>
      <c r="K23" s="25"/>
      <c r="L23" s="25"/>
      <c r="M23" s="25"/>
      <c r="N23" s="25"/>
      <c r="O23" s="25"/>
      <c r="P23" s="25"/>
      <c r="Q23" s="25"/>
      <c r="R23" s="25"/>
      <c r="S23" s="25"/>
      <c r="T23" s="25"/>
      <c r="U23" s="25"/>
      <c r="V23" s="25"/>
      <c r="W23" s="25"/>
      <c r="X23" s="25"/>
      <c r="Y23" s="25"/>
      <c r="Z23" s="25"/>
      <c r="AA23" s="25"/>
      <c r="AB23" s="25"/>
    </row>
    <row r="24" spans="1:28" ht="15" customHeight="1" x14ac:dyDescent="0.3">
      <c r="A24" s="34"/>
      <c r="B24" s="34"/>
      <c r="C24" s="34"/>
      <c r="D24" s="34"/>
      <c r="E24" s="34"/>
      <c r="F24" s="34"/>
      <c r="G24" s="34"/>
      <c r="H24" s="34"/>
      <c r="I24" s="34"/>
      <c r="J24" s="34"/>
      <c r="K24" s="25"/>
      <c r="L24" s="25"/>
      <c r="M24" s="25"/>
      <c r="N24" s="25"/>
      <c r="O24" s="25"/>
      <c r="P24" s="25"/>
      <c r="Q24" s="25"/>
      <c r="R24" s="25"/>
      <c r="S24" s="25"/>
      <c r="T24" s="25"/>
      <c r="U24" s="25"/>
      <c r="V24" s="25"/>
      <c r="W24" s="25"/>
      <c r="X24" s="25"/>
      <c r="Y24" s="25"/>
      <c r="Z24" s="25"/>
      <c r="AA24" s="25"/>
      <c r="AB24" s="25"/>
    </row>
    <row r="25" spans="1:28" ht="19" customHeight="1" x14ac:dyDescent="0.3">
      <c r="A25" s="337" t="s">
        <v>337</v>
      </c>
      <c r="B25" s="34"/>
      <c r="C25" s="34"/>
      <c r="D25" s="34"/>
      <c r="E25" s="34"/>
      <c r="F25" s="34"/>
      <c r="G25" s="34"/>
      <c r="H25" s="34"/>
      <c r="I25" s="34"/>
      <c r="J25" s="34"/>
      <c r="K25" s="25"/>
      <c r="L25" s="25"/>
      <c r="M25" s="25"/>
      <c r="N25" s="25"/>
      <c r="O25" s="25"/>
      <c r="P25" s="25"/>
      <c r="Q25" s="25"/>
      <c r="R25" s="25"/>
      <c r="S25" s="25"/>
      <c r="T25" s="25"/>
      <c r="U25" s="25"/>
      <c r="V25" s="25"/>
      <c r="W25" s="25"/>
      <c r="X25" s="25"/>
      <c r="Y25" s="25"/>
      <c r="Z25" s="25"/>
      <c r="AA25" s="25"/>
      <c r="AB25" s="25"/>
    </row>
    <row r="26" spans="1:28" ht="23" customHeight="1" x14ac:dyDescent="0.3">
      <c r="A26" s="322"/>
      <c r="B26" s="320"/>
      <c r="C26" s="320"/>
      <c r="D26" s="320"/>
      <c r="E26" s="320"/>
      <c r="F26" s="320"/>
      <c r="G26" s="320"/>
      <c r="H26" s="320"/>
      <c r="I26" s="320"/>
      <c r="J26" s="321"/>
      <c r="K26" s="25"/>
      <c r="L26" s="25"/>
      <c r="M26" s="25"/>
      <c r="N26" s="25"/>
      <c r="O26" s="25"/>
      <c r="P26" s="25"/>
      <c r="Q26" s="25"/>
      <c r="R26" s="25"/>
      <c r="S26" s="25"/>
      <c r="T26" s="25"/>
      <c r="U26" s="25"/>
      <c r="V26" s="25"/>
      <c r="W26" s="25"/>
      <c r="X26" s="25"/>
      <c r="Y26" s="25"/>
      <c r="Z26" s="25"/>
      <c r="AA26" s="25"/>
      <c r="AB26" s="25"/>
    </row>
    <row r="27" spans="1:28" ht="15" customHeight="1" x14ac:dyDescent="0.3">
      <c r="A27" s="34"/>
      <c r="B27" s="34"/>
      <c r="C27" s="34"/>
      <c r="D27" s="34"/>
      <c r="E27" s="34"/>
      <c r="F27" s="34"/>
      <c r="G27" s="34"/>
      <c r="H27" s="34"/>
      <c r="I27" s="34"/>
      <c r="J27" s="34"/>
      <c r="K27" s="25"/>
      <c r="L27" s="25"/>
      <c r="M27" s="25"/>
      <c r="N27" s="25"/>
      <c r="O27" s="25"/>
      <c r="P27" s="25"/>
      <c r="Q27" s="25"/>
      <c r="R27" s="25"/>
      <c r="S27" s="25"/>
      <c r="T27" s="25"/>
      <c r="U27" s="25"/>
      <c r="V27" s="25"/>
      <c r="W27" s="25"/>
      <c r="X27" s="25"/>
      <c r="Y27" s="25"/>
      <c r="Z27" s="25"/>
      <c r="AA27" s="25"/>
      <c r="AB27" s="25"/>
    </row>
    <row r="28" spans="1:28" ht="22" customHeight="1" x14ac:dyDescent="0.3">
      <c r="A28" s="337" t="s">
        <v>347</v>
      </c>
      <c r="B28" s="34"/>
      <c r="C28" s="34"/>
      <c r="D28" s="34"/>
      <c r="E28" s="34"/>
      <c r="F28" s="34"/>
      <c r="G28" s="34"/>
      <c r="H28" s="34"/>
      <c r="I28" s="34"/>
      <c r="J28" s="34"/>
      <c r="K28" s="25"/>
      <c r="L28" s="25"/>
      <c r="M28" s="25"/>
      <c r="N28" s="25"/>
      <c r="O28" s="25"/>
      <c r="P28" s="25"/>
      <c r="Q28" s="25"/>
      <c r="R28" s="25"/>
      <c r="S28" s="25"/>
      <c r="T28" s="25"/>
      <c r="U28" s="25"/>
      <c r="V28" s="25"/>
      <c r="W28" s="25"/>
      <c r="X28" s="25"/>
      <c r="Y28" s="25"/>
      <c r="Z28" s="25"/>
      <c r="AA28" s="25"/>
      <c r="AB28" s="25"/>
    </row>
    <row r="29" spans="1:28" ht="23" customHeight="1" x14ac:dyDescent="0.3">
      <c r="A29" s="322"/>
      <c r="B29" s="320"/>
      <c r="C29" s="320"/>
      <c r="D29" s="320"/>
      <c r="E29" s="320"/>
      <c r="F29" s="320"/>
      <c r="G29" s="320"/>
      <c r="H29" s="320"/>
      <c r="I29" s="320"/>
      <c r="J29" s="321"/>
      <c r="K29" s="25"/>
      <c r="L29" s="25"/>
      <c r="M29" s="25"/>
      <c r="N29" s="25"/>
      <c r="O29" s="25"/>
      <c r="P29" s="25"/>
      <c r="Q29" s="25"/>
      <c r="R29" s="25"/>
      <c r="S29" s="25"/>
      <c r="T29" s="25"/>
      <c r="U29" s="25"/>
      <c r="V29" s="25"/>
      <c r="W29" s="25"/>
      <c r="X29" s="25"/>
      <c r="Y29" s="25"/>
      <c r="Z29" s="25"/>
      <c r="AA29" s="25"/>
      <c r="AB29" s="25"/>
    </row>
    <row r="30" spans="1:28" s="30" customFormat="1" ht="16" customHeight="1" x14ac:dyDescent="0.3">
      <c r="A30" s="338" t="s">
        <v>375</v>
      </c>
      <c r="B30" s="338"/>
      <c r="C30" s="338"/>
      <c r="D30" s="338"/>
      <c r="E30" s="338"/>
      <c r="F30" s="338"/>
      <c r="G30" s="338"/>
      <c r="H30" s="338"/>
      <c r="I30" s="338"/>
      <c r="J30" s="338"/>
      <c r="K30" s="25"/>
      <c r="L30" s="25"/>
      <c r="M30" s="25"/>
      <c r="N30" s="25"/>
      <c r="O30" s="25"/>
      <c r="P30" s="25"/>
      <c r="Q30" s="25"/>
      <c r="R30" s="25"/>
      <c r="S30" s="25"/>
      <c r="T30" s="25"/>
      <c r="U30" s="25"/>
      <c r="V30" s="25"/>
      <c r="W30" s="25"/>
      <c r="X30" s="25"/>
      <c r="Y30" s="25"/>
      <c r="Z30" s="25"/>
      <c r="AA30" s="25"/>
      <c r="AB30" s="25"/>
    </row>
    <row r="31" spans="1:28" ht="15" customHeight="1" x14ac:dyDescent="0.3">
      <c r="A31" s="34"/>
      <c r="B31" s="34"/>
      <c r="C31" s="34"/>
      <c r="D31" s="34"/>
      <c r="E31" s="34"/>
      <c r="F31" s="34"/>
      <c r="G31" s="34"/>
      <c r="H31" s="34"/>
      <c r="I31" s="34"/>
      <c r="J31" s="34"/>
      <c r="K31" s="25"/>
      <c r="L31" s="25"/>
      <c r="M31" s="25"/>
      <c r="N31" s="25"/>
      <c r="O31" s="25"/>
      <c r="P31" s="25"/>
      <c r="Q31" s="25"/>
      <c r="R31" s="25"/>
      <c r="S31" s="25"/>
      <c r="T31" s="25"/>
      <c r="U31" s="25"/>
      <c r="V31" s="25"/>
      <c r="W31" s="25"/>
      <c r="X31" s="25"/>
      <c r="Y31" s="25"/>
      <c r="Z31" s="25"/>
      <c r="AA31" s="25"/>
      <c r="AB31" s="25"/>
    </row>
    <row r="32" spans="1:28" ht="22" customHeight="1" x14ac:dyDescent="0.3">
      <c r="A32" s="337" t="s">
        <v>349</v>
      </c>
      <c r="B32" s="34"/>
      <c r="C32" s="34"/>
      <c r="D32" s="34"/>
      <c r="E32" s="34"/>
      <c r="F32" s="34"/>
      <c r="G32" s="34"/>
      <c r="H32" s="34"/>
      <c r="I32" s="34"/>
      <c r="J32" s="34"/>
      <c r="K32" s="25"/>
      <c r="L32" s="25"/>
      <c r="M32" s="25"/>
      <c r="N32" s="25"/>
      <c r="O32" s="25"/>
      <c r="P32" s="25"/>
      <c r="Q32" s="25"/>
      <c r="R32" s="25"/>
      <c r="S32" s="25"/>
      <c r="T32" s="25"/>
      <c r="U32" s="25"/>
      <c r="V32" s="25"/>
      <c r="W32" s="25"/>
      <c r="X32" s="25"/>
      <c r="Y32" s="25"/>
      <c r="Z32" s="25"/>
      <c r="AA32" s="25"/>
      <c r="AB32" s="25"/>
    </row>
    <row r="33" spans="1:28" ht="23" customHeight="1" x14ac:dyDescent="0.3">
      <c r="A33" s="322"/>
      <c r="B33" s="320"/>
      <c r="C33" s="320"/>
      <c r="D33" s="320"/>
      <c r="E33" s="320"/>
      <c r="F33" s="320"/>
      <c r="G33" s="320"/>
      <c r="H33" s="320"/>
      <c r="I33" s="320"/>
      <c r="J33" s="321"/>
      <c r="K33" s="25"/>
      <c r="L33" s="25"/>
      <c r="M33" s="25"/>
      <c r="N33" s="25"/>
      <c r="O33" s="25"/>
      <c r="P33" s="25"/>
      <c r="Q33" s="25"/>
      <c r="R33" s="25"/>
      <c r="S33" s="25"/>
      <c r="T33" s="25"/>
      <c r="U33" s="25"/>
      <c r="V33" s="25"/>
      <c r="W33" s="25"/>
      <c r="X33" s="25"/>
      <c r="Y33" s="25"/>
      <c r="Z33" s="25"/>
      <c r="AA33" s="25"/>
      <c r="AB33" s="25"/>
    </row>
    <row r="34" spans="1:28" ht="15" customHeight="1" x14ac:dyDescent="0.3">
      <c r="A34" s="34"/>
      <c r="B34" s="34"/>
      <c r="C34" s="34"/>
      <c r="D34" s="34"/>
      <c r="E34" s="34"/>
      <c r="F34" s="34"/>
      <c r="G34" s="34"/>
      <c r="H34" s="34"/>
      <c r="I34" s="34"/>
      <c r="J34" s="34"/>
      <c r="K34" s="25"/>
      <c r="L34" s="25"/>
      <c r="M34" s="25"/>
      <c r="N34" s="25"/>
      <c r="O34" s="25"/>
      <c r="P34" s="25"/>
      <c r="Q34" s="25"/>
      <c r="R34" s="25"/>
      <c r="S34" s="25"/>
      <c r="T34" s="25"/>
      <c r="U34" s="25"/>
      <c r="V34" s="25"/>
      <c r="W34" s="25"/>
      <c r="X34" s="25"/>
      <c r="Y34" s="25"/>
      <c r="Z34" s="25"/>
      <c r="AA34" s="25"/>
      <c r="AB34" s="25"/>
    </row>
    <row r="35" spans="1:28" ht="15" customHeight="1" x14ac:dyDescent="0.3">
      <c r="A35" s="34"/>
      <c r="B35" s="34"/>
      <c r="C35" s="34"/>
      <c r="D35" s="34"/>
      <c r="E35" s="34"/>
      <c r="F35" s="34"/>
      <c r="G35" s="34"/>
      <c r="H35" s="34"/>
      <c r="I35" s="34"/>
      <c r="J35" s="34"/>
      <c r="K35" s="25"/>
      <c r="L35" s="25"/>
      <c r="M35" s="25"/>
      <c r="N35" s="25"/>
      <c r="O35" s="25"/>
      <c r="P35" s="25"/>
      <c r="Q35" s="25"/>
      <c r="R35" s="25"/>
      <c r="S35" s="25"/>
      <c r="T35" s="25"/>
      <c r="U35" s="25"/>
      <c r="V35" s="25"/>
      <c r="W35" s="25"/>
      <c r="X35" s="25"/>
      <c r="Y35" s="25"/>
      <c r="Z35" s="25"/>
      <c r="AA35" s="25"/>
      <c r="AB35" s="25"/>
    </row>
    <row r="36" spans="1:28" ht="24" x14ac:dyDescent="0.3">
      <c r="A36" s="339" t="s">
        <v>334</v>
      </c>
      <c r="B36" s="34"/>
      <c r="C36" s="34"/>
      <c r="D36" s="34"/>
      <c r="E36" s="34"/>
      <c r="F36" s="34"/>
      <c r="G36" s="34"/>
      <c r="H36" s="34"/>
      <c r="I36" s="34"/>
      <c r="J36" s="34"/>
      <c r="K36" s="25"/>
      <c r="L36" s="25"/>
      <c r="M36" s="25"/>
      <c r="N36" s="25"/>
      <c r="O36" s="25"/>
      <c r="P36" s="25"/>
      <c r="Q36" s="25"/>
      <c r="R36" s="25"/>
      <c r="S36" s="25"/>
      <c r="T36" s="25"/>
      <c r="U36" s="25"/>
      <c r="V36" s="25"/>
      <c r="W36" s="25"/>
      <c r="X36" s="25"/>
      <c r="Y36" s="25"/>
      <c r="Z36" s="25"/>
      <c r="AA36" s="25"/>
      <c r="AB36" s="25"/>
    </row>
    <row r="37" spans="1:28" ht="15" customHeight="1" x14ac:dyDescent="0.3">
      <c r="A37" s="34"/>
      <c r="B37" s="34"/>
      <c r="C37" s="34"/>
      <c r="D37" s="34"/>
      <c r="E37" s="34"/>
      <c r="F37" s="34"/>
      <c r="G37" s="34"/>
      <c r="H37" s="34"/>
      <c r="I37" s="34"/>
      <c r="J37" s="34"/>
      <c r="K37" s="25"/>
      <c r="L37" s="25"/>
      <c r="M37" s="25"/>
      <c r="N37" s="25"/>
      <c r="O37" s="25"/>
      <c r="P37" s="25"/>
      <c r="Q37" s="25"/>
      <c r="R37" s="25"/>
      <c r="S37" s="25"/>
      <c r="T37" s="25"/>
      <c r="U37" s="25"/>
      <c r="V37" s="25"/>
      <c r="W37" s="25"/>
      <c r="X37" s="25"/>
      <c r="Y37" s="25"/>
      <c r="Z37" s="25"/>
      <c r="AA37" s="25"/>
      <c r="AB37" s="25"/>
    </row>
    <row r="38" spans="1:28" ht="22" customHeight="1" x14ac:dyDescent="0.3">
      <c r="A38" s="337" t="s">
        <v>319</v>
      </c>
      <c r="B38" s="34"/>
      <c r="C38" s="34"/>
      <c r="D38" s="34"/>
      <c r="E38" s="34"/>
      <c r="F38" s="34"/>
      <c r="G38" s="34"/>
      <c r="H38" s="34"/>
      <c r="I38" s="34"/>
      <c r="J38" s="34"/>
      <c r="K38" s="25"/>
      <c r="L38" s="25"/>
      <c r="M38" s="25"/>
      <c r="N38" s="25"/>
      <c r="O38" s="25"/>
      <c r="P38" s="25"/>
      <c r="Q38" s="25"/>
      <c r="R38" s="25"/>
      <c r="S38" s="25"/>
      <c r="T38" s="25"/>
      <c r="U38" s="25"/>
      <c r="V38" s="25"/>
      <c r="W38" s="25"/>
      <c r="X38" s="25"/>
      <c r="Y38" s="25"/>
      <c r="Z38" s="25"/>
      <c r="AA38" s="25"/>
      <c r="AB38" s="25"/>
    </row>
    <row r="39" spans="1:28" ht="15" customHeight="1" x14ac:dyDescent="0.3">
      <c r="A39" s="338" t="s">
        <v>350</v>
      </c>
      <c r="B39" s="34"/>
      <c r="C39" s="34"/>
      <c r="D39" s="34"/>
      <c r="E39" s="34"/>
      <c r="F39" s="34"/>
      <c r="G39" s="34"/>
      <c r="H39" s="34"/>
      <c r="I39" s="34"/>
      <c r="J39" s="34"/>
      <c r="K39" s="25"/>
      <c r="L39" s="25"/>
      <c r="M39" s="25"/>
      <c r="N39" s="25"/>
      <c r="O39" s="25"/>
      <c r="P39" s="25"/>
      <c r="Q39" s="25"/>
      <c r="R39" s="25"/>
      <c r="S39" s="25"/>
      <c r="T39" s="25"/>
      <c r="U39" s="25"/>
      <c r="V39" s="25"/>
      <c r="W39" s="25"/>
      <c r="X39" s="25"/>
      <c r="Y39" s="25"/>
      <c r="Z39" s="25"/>
      <c r="AA39" s="25"/>
      <c r="AB39" s="25"/>
    </row>
    <row r="40" spans="1:28" ht="5" customHeight="1" x14ac:dyDescent="0.3">
      <c r="A40" s="34"/>
      <c r="B40" s="34"/>
      <c r="C40" s="34"/>
      <c r="D40" s="34"/>
      <c r="E40" s="34"/>
      <c r="F40" s="34"/>
      <c r="G40" s="34"/>
      <c r="H40" s="34"/>
      <c r="I40" s="34"/>
      <c r="J40" s="34"/>
      <c r="K40" s="25"/>
      <c r="L40" s="25"/>
      <c r="M40" s="25"/>
      <c r="N40" s="25"/>
      <c r="O40" s="25"/>
      <c r="P40" s="25"/>
      <c r="Q40" s="25"/>
      <c r="R40" s="25"/>
      <c r="S40" s="25"/>
      <c r="T40" s="25"/>
      <c r="U40" s="25"/>
      <c r="V40" s="25"/>
      <c r="W40" s="25"/>
      <c r="X40" s="25"/>
      <c r="Y40" s="25"/>
      <c r="Z40" s="25"/>
      <c r="AA40" s="25"/>
      <c r="AB40" s="25"/>
    </row>
    <row r="41" spans="1:28" ht="19" customHeight="1" x14ac:dyDescent="0.3">
      <c r="A41" s="340" t="s">
        <v>30</v>
      </c>
      <c r="B41" s="34"/>
      <c r="C41" s="34"/>
      <c r="D41" s="34"/>
      <c r="E41" s="341" t="s">
        <v>322</v>
      </c>
      <c r="F41" s="34"/>
      <c r="G41" s="34"/>
      <c r="H41" s="34"/>
      <c r="I41" s="34"/>
      <c r="J41" s="34"/>
      <c r="K41" s="25"/>
      <c r="L41" s="25"/>
      <c r="M41" s="25"/>
      <c r="N41" s="25"/>
      <c r="O41" s="25"/>
      <c r="P41" s="25"/>
      <c r="Q41" s="25"/>
      <c r="R41" s="25"/>
      <c r="S41" s="25"/>
      <c r="T41" s="25"/>
      <c r="U41" s="25"/>
      <c r="V41" s="25"/>
      <c r="W41" s="25"/>
      <c r="X41" s="25"/>
      <c r="Y41" s="25"/>
      <c r="Z41" s="25"/>
      <c r="AA41" s="25"/>
      <c r="AB41" s="25"/>
    </row>
    <row r="42" spans="1:28" ht="15" customHeight="1" x14ac:dyDescent="0.3">
      <c r="A42" s="34"/>
      <c r="B42" s="34"/>
      <c r="C42" s="34"/>
      <c r="D42" s="34"/>
      <c r="E42" s="34"/>
      <c r="F42" s="34"/>
      <c r="G42" s="34"/>
      <c r="H42" s="34"/>
      <c r="I42" s="34"/>
      <c r="J42" s="34"/>
      <c r="K42" s="25"/>
      <c r="L42" s="25"/>
      <c r="M42" s="25"/>
      <c r="N42" s="25"/>
      <c r="O42" s="25"/>
      <c r="P42" s="25"/>
      <c r="Q42" s="25"/>
      <c r="R42" s="25"/>
      <c r="S42" s="25"/>
      <c r="T42" s="25"/>
      <c r="U42" s="25"/>
      <c r="V42" s="25"/>
      <c r="W42" s="25"/>
      <c r="X42" s="25"/>
      <c r="Y42" s="25"/>
      <c r="Z42" s="25"/>
      <c r="AA42" s="25"/>
      <c r="AB42" s="25"/>
    </row>
    <row r="43" spans="1:28" ht="22" customHeight="1" x14ac:dyDescent="0.3">
      <c r="A43" s="337" t="s">
        <v>351</v>
      </c>
      <c r="B43" s="34"/>
      <c r="C43" s="34"/>
      <c r="D43" s="34"/>
      <c r="E43" s="34"/>
      <c r="F43" s="34"/>
      <c r="G43" s="34"/>
      <c r="H43" s="34"/>
      <c r="I43" s="34"/>
      <c r="J43" s="34"/>
      <c r="K43" s="25"/>
      <c r="L43" s="25"/>
      <c r="M43" s="25"/>
      <c r="N43" s="25"/>
      <c r="O43" s="25"/>
      <c r="P43" s="25"/>
      <c r="Q43" s="25"/>
      <c r="R43" s="25"/>
      <c r="S43" s="25"/>
      <c r="T43" s="25"/>
      <c r="U43" s="25"/>
      <c r="V43" s="25"/>
      <c r="W43" s="25"/>
      <c r="X43" s="25"/>
      <c r="Y43" s="25"/>
      <c r="Z43" s="25"/>
      <c r="AA43" s="25"/>
      <c r="AB43" s="25"/>
    </row>
    <row r="44" spans="1:28" ht="16" customHeight="1" x14ac:dyDescent="0.3">
      <c r="A44" s="338" t="s">
        <v>350</v>
      </c>
      <c r="B44" s="34"/>
      <c r="C44" s="34"/>
      <c r="D44" s="34"/>
      <c r="E44" s="34"/>
      <c r="F44" s="34"/>
      <c r="G44" s="34"/>
      <c r="H44" s="34"/>
      <c r="I44" s="34"/>
      <c r="J44" s="34"/>
      <c r="K44" s="25"/>
      <c r="L44" s="25"/>
      <c r="M44" s="25"/>
      <c r="N44" s="25"/>
      <c r="O44" s="25"/>
      <c r="P44" s="25"/>
      <c r="Q44" s="25"/>
      <c r="R44" s="25"/>
      <c r="S44" s="25"/>
      <c r="T44" s="25"/>
      <c r="U44" s="25"/>
      <c r="V44" s="25"/>
      <c r="W44" s="25"/>
      <c r="X44" s="25"/>
      <c r="Y44" s="25"/>
      <c r="Z44" s="25"/>
      <c r="AA44" s="25"/>
      <c r="AB44" s="25"/>
    </row>
    <row r="45" spans="1:28" ht="5" customHeight="1" x14ac:dyDescent="0.3">
      <c r="A45" s="34"/>
      <c r="B45" s="34"/>
      <c r="C45" s="34"/>
      <c r="D45" s="34"/>
      <c r="E45" s="34"/>
      <c r="F45" s="34"/>
      <c r="G45" s="34"/>
      <c r="H45" s="34"/>
      <c r="I45" s="34"/>
      <c r="J45" s="34"/>
      <c r="K45" s="25"/>
      <c r="L45" s="25"/>
      <c r="M45" s="25"/>
      <c r="N45" s="25"/>
      <c r="O45" s="25"/>
      <c r="P45" s="25"/>
      <c r="Q45" s="25"/>
      <c r="R45" s="25"/>
      <c r="S45" s="25"/>
      <c r="T45" s="25"/>
      <c r="U45" s="25"/>
      <c r="V45" s="25"/>
      <c r="W45" s="25"/>
      <c r="X45" s="25"/>
      <c r="Y45" s="25"/>
      <c r="Z45" s="25"/>
      <c r="AA45" s="25"/>
      <c r="AB45" s="25"/>
    </row>
    <row r="46" spans="1:28" ht="19" customHeight="1" x14ac:dyDescent="0.3">
      <c r="A46" s="341" t="s">
        <v>352</v>
      </c>
      <c r="B46" s="34"/>
      <c r="C46" s="341" t="s">
        <v>353</v>
      </c>
      <c r="D46" s="34"/>
      <c r="E46" s="341" t="s">
        <v>354</v>
      </c>
      <c r="F46" s="34"/>
      <c r="G46" s="341" t="s">
        <v>355</v>
      </c>
      <c r="H46" s="34"/>
      <c r="I46" s="34"/>
      <c r="J46" s="34"/>
      <c r="K46" s="25"/>
      <c r="L46" s="25"/>
      <c r="M46" s="25"/>
      <c r="N46" s="25"/>
      <c r="O46" s="25"/>
      <c r="P46" s="25"/>
      <c r="Q46" s="25"/>
      <c r="R46" s="25"/>
      <c r="S46" s="25"/>
      <c r="T46" s="25"/>
      <c r="U46" s="25"/>
      <c r="V46" s="25"/>
      <c r="W46" s="25"/>
      <c r="X46" s="25"/>
      <c r="Y46" s="25"/>
      <c r="Z46" s="25"/>
      <c r="AA46" s="25"/>
      <c r="AB46" s="25"/>
    </row>
    <row r="47" spans="1:28" ht="15" customHeight="1" x14ac:dyDescent="0.3">
      <c r="A47" s="34"/>
      <c r="B47" s="34"/>
      <c r="C47" s="34"/>
      <c r="D47" s="34"/>
      <c r="E47" s="34"/>
      <c r="F47" s="34"/>
      <c r="G47" s="34"/>
      <c r="H47" s="34"/>
      <c r="I47" s="34"/>
      <c r="J47" s="34"/>
      <c r="K47" s="25"/>
      <c r="L47" s="25"/>
      <c r="M47" s="25"/>
      <c r="N47" s="25"/>
      <c r="O47" s="25"/>
      <c r="P47" s="25"/>
      <c r="Q47" s="25"/>
      <c r="R47" s="25"/>
      <c r="S47" s="25"/>
      <c r="T47" s="25"/>
      <c r="U47" s="25"/>
      <c r="V47" s="25"/>
      <c r="W47" s="25"/>
      <c r="X47" s="25"/>
      <c r="Y47" s="25"/>
      <c r="Z47" s="25"/>
      <c r="AA47" s="25"/>
      <c r="AB47" s="25"/>
    </row>
    <row r="48" spans="1:28" ht="15" customHeight="1" x14ac:dyDescent="0.3">
      <c r="A48" s="34"/>
      <c r="B48" s="34"/>
      <c r="C48" s="34"/>
      <c r="D48" s="34"/>
      <c r="E48" s="34"/>
      <c r="F48" s="34"/>
      <c r="G48" s="34"/>
      <c r="H48" s="34"/>
      <c r="I48" s="34"/>
      <c r="J48" s="34"/>
      <c r="K48" s="25"/>
      <c r="L48" s="25"/>
      <c r="M48" s="25"/>
      <c r="N48" s="25"/>
      <c r="O48" s="25"/>
      <c r="P48" s="25"/>
      <c r="Q48" s="25"/>
      <c r="R48" s="25"/>
      <c r="S48" s="25"/>
      <c r="T48" s="25"/>
      <c r="U48" s="25"/>
      <c r="V48" s="25"/>
      <c r="W48" s="25"/>
      <c r="X48" s="25"/>
      <c r="Y48" s="25"/>
      <c r="Z48" s="25"/>
      <c r="AA48" s="25"/>
      <c r="AB48" s="25"/>
    </row>
    <row r="49" spans="1:28" ht="24" x14ac:dyDescent="0.3">
      <c r="A49" s="339" t="s">
        <v>335</v>
      </c>
      <c r="B49" s="34"/>
      <c r="C49" s="34"/>
      <c r="D49" s="34"/>
      <c r="E49" s="34"/>
      <c r="F49" s="34"/>
      <c r="G49" s="34"/>
      <c r="H49" s="34"/>
      <c r="I49" s="34"/>
      <c r="J49" s="34"/>
      <c r="K49" s="25"/>
      <c r="L49" s="25"/>
      <c r="M49" s="25"/>
      <c r="N49" s="25"/>
      <c r="O49" s="25"/>
      <c r="P49" s="25"/>
      <c r="Q49" s="25"/>
      <c r="R49" s="25"/>
      <c r="S49" s="25"/>
      <c r="T49" s="25"/>
      <c r="U49" s="25"/>
      <c r="V49" s="25"/>
      <c r="W49" s="25"/>
      <c r="X49" s="25"/>
      <c r="Y49" s="25"/>
      <c r="Z49" s="25"/>
      <c r="AA49" s="25"/>
      <c r="AB49" s="25"/>
    </row>
    <row r="50" spans="1:28" ht="15" customHeight="1" x14ac:dyDescent="0.3">
      <c r="A50" s="34"/>
      <c r="B50" s="34"/>
      <c r="C50" s="34"/>
      <c r="D50" s="34"/>
      <c r="E50" s="34"/>
      <c r="F50" s="34"/>
      <c r="G50" s="34"/>
      <c r="H50" s="34"/>
      <c r="I50" s="34"/>
      <c r="J50" s="34"/>
      <c r="K50" s="25"/>
      <c r="L50" s="25"/>
      <c r="M50" s="25"/>
      <c r="N50" s="25"/>
      <c r="O50" s="25"/>
      <c r="P50" s="25"/>
      <c r="Q50" s="25"/>
      <c r="R50" s="25"/>
      <c r="S50" s="25"/>
      <c r="T50" s="25"/>
      <c r="U50" s="25"/>
      <c r="V50" s="25"/>
      <c r="W50" s="25"/>
      <c r="X50" s="25"/>
      <c r="Y50" s="25"/>
      <c r="Z50" s="25"/>
      <c r="AA50" s="25"/>
      <c r="AB50" s="25"/>
    </row>
    <row r="51" spans="1:28" ht="22" customHeight="1" x14ac:dyDescent="0.3">
      <c r="A51" s="337" t="s">
        <v>323</v>
      </c>
      <c r="B51" s="34"/>
      <c r="C51" s="34"/>
      <c r="D51" s="34"/>
      <c r="E51" s="34"/>
      <c r="F51" s="34"/>
      <c r="G51" s="34"/>
      <c r="H51" s="34"/>
      <c r="I51" s="34"/>
      <c r="J51" s="34"/>
      <c r="K51" s="25"/>
      <c r="L51" s="25"/>
      <c r="M51" s="25"/>
      <c r="N51" s="25"/>
      <c r="O51" s="25"/>
      <c r="P51" s="25"/>
      <c r="Q51" s="25"/>
      <c r="R51" s="25"/>
      <c r="S51" s="25"/>
      <c r="T51" s="25"/>
      <c r="U51" s="25"/>
      <c r="V51" s="25"/>
      <c r="W51" s="25"/>
      <c r="X51" s="25"/>
      <c r="Y51" s="25"/>
      <c r="Z51" s="25"/>
      <c r="AA51" s="25"/>
      <c r="AB51" s="25"/>
    </row>
    <row r="52" spans="1:28" ht="16" customHeight="1" x14ac:dyDescent="0.3">
      <c r="A52" s="338" t="s">
        <v>350</v>
      </c>
      <c r="B52" s="34"/>
      <c r="C52" s="34"/>
      <c r="D52" s="34"/>
      <c r="E52" s="34"/>
      <c r="F52" s="34"/>
      <c r="G52" s="34"/>
      <c r="H52" s="34"/>
      <c r="I52" s="34"/>
      <c r="J52" s="34"/>
      <c r="K52" s="25"/>
      <c r="L52" s="25"/>
      <c r="M52" s="25"/>
      <c r="N52" s="25"/>
      <c r="O52" s="25"/>
      <c r="P52" s="25"/>
      <c r="Q52" s="25"/>
      <c r="R52" s="25"/>
      <c r="S52" s="25"/>
      <c r="T52" s="25"/>
      <c r="U52" s="25"/>
      <c r="V52" s="25"/>
      <c r="W52" s="25"/>
      <c r="X52" s="25"/>
      <c r="Y52" s="25"/>
      <c r="Z52" s="25"/>
      <c r="AA52" s="25"/>
      <c r="AB52" s="25"/>
    </row>
    <row r="53" spans="1:28" ht="5" customHeight="1" x14ac:dyDescent="0.3">
      <c r="A53" s="34"/>
      <c r="B53" s="34"/>
      <c r="C53" s="34"/>
      <c r="D53" s="34"/>
      <c r="E53" s="34"/>
      <c r="F53" s="34"/>
      <c r="G53" s="34"/>
      <c r="H53" s="34"/>
      <c r="I53" s="34"/>
      <c r="J53" s="34"/>
      <c r="K53" s="25"/>
      <c r="L53" s="25"/>
      <c r="M53" s="25"/>
      <c r="N53" s="25"/>
      <c r="O53" s="25"/>
      <c r="P53" s="25"/>
      <c r="Q53" s="25"/>
      <c r="R53" s="25"/>
      <c r="S53" s="25"/>
      <c r="T53" s="25"/>
      <c r="U53" s="25"/>
      <c r="V53" s="25"/>
      <c r="W53" s="25"/>
      <c r="X53" s="25"/>
      <c r="Y53" s="25"/>
      <c r="Z53" s="25"/>
      <c r="AA53" s="25"/>
      <c r="AB53" s="25"/>
    </row>
    <row r="54" spans="1:28" ht="19" customHeight="1" x14ac:dyDescent="0.3">
      <c r="A54" s="341" t="s">
        <v>356</v>
      </c>
      <c r="B54" s="34"/>
      <c r="C54" s="341" t="s">
        <v>325</v>
      </c>
      <c r="D54" s="34"/>
      <c r="E54" s="341" t="s">
        <v>357</v>
      </c>
      <c r="F54" s="342" t="s">
        <v>326</v>
      </c>
      <c r="G54" s="341"/>
      <c r="H54" s="341" t="s">
        <v>379</v>
      </c>
      <c r="I54" s="34"/>
      <c r="J54" s="34"/>
      <c r="K54" s="25"/>
      <c r="L54" s="25"/>
      <c r="M54" s="25"/>
      <c r="N54" s="25"/>
      <c r="O54" s="25"/>
      <c r="P54" s="25"/>
      <c r="Q54" s="25"/>
      <c r="R54" s="25"/>
      <c r="S54" s="25"/>
      <c r="T54" s="25"/>
      <c r="U54" s="25"/>
      <c r="V54" s="25"/>
      <c r="W54" s="25"/>
      <c r="X54" s="25"/>
      <c r="Y54" s="25"/>
      <c r="Z54" s="25"/>
      <c r="AA54" s="25"/>
      <c r="AB54" s="25"/>
    </row>
    <row r="55" spans="1:28" ht="19" customHeight="1" x14ac:dyDescent="0.3">
      <c r="A55" s="34"/>
      <c r="B55" s="34"/>
      <c r="C55" s="341" t="s">
        <v>358</v>
      </c>
      <c r="D55" s="34"/>
      <c r="E55" s="341" t="s">
        <v>359</v>
      </c>
      <c r="F55" s="341" t="s">
        <v>360</v>
      </c>
      <c r="G55" s="34"/>
      <c r="H55" s="34"/>
      <c r="I55" s="34"/>
      <c r="J55" s="34"/>
      <c r="K55" s="25"/>
      <c r="L55" s="25"/>
      <c r="M55" s="25"/>
      <c r="N55" s="25"/>
      <c r="O55" s="25"/>
      <c r="P55" s="25"/>
      <c r="Q55" s="25"/>
      <c r="R55" s="25"/>
      <c r="S55" s="25"/>
      <c r="T55" s="25"/>
      <c r="U55" s="25"/>
      <c r="V55" s="25"/>
      <c r="W55" s="25"/>
      <c r="X55" s="25"/>
      <c r="Y55" s="25"/>
      <c r="Z55" s="25"/>
      <c r="AA55" s="25"/>
      <c r="AB55" s="25"/>
    </row>
    <row r="56" spans="1:28" ht="15" customHeight="1" x14ac:dyDescent="0.3">
      <c r="A56" s="34"/>
      <c r="B56" s="34"/>
      <c r="C56" s="34"/>
      <c r="D56" s="34"/>
      <c r="E56" s="34"/>
      <c r="F56" s="34"/>
      <c r="G56" s="34"/>
      <c r="H56" s="34"/>
      <c r="I56" s="34"/>
      <c r="J56" s="34"/>
      <c r="K56" s="25"/>
      <c r="L56" s="25"/>
      <c r="M56" s="25"/>
      <c r="N56" s="25"/>
      <c r="O56" s="25"/>
      <c r="P56" s="25"/>
      <c r="Q56" s="25"/>
      <c r="R56" s="25"/>
      <c r="S56" s="25"/>
      <c r="T56" s="25"/>
      <c r="U56" s="25"/>
      <c r="V56" s="25"/>
      <c r="W56" s="25"/>
      <c r="X56" s="25"/>
      <c r="Y56" s="25"/>
      <c r="Z56" s="25"/>
      <c r="AA56" s="25"/>
      <c r="AB56" s="25"/>
    </row>
    <row r="57" spans="1:28" ht="24" x14ac:dyDescent="0.3">
      <c r="A57" s="337" t="s">
        <v>361</v>
      </c>
      <c r="B57" s="34"/>
      <c r="C57" s="34"/>
      <c r="D57" s="34"/>
      <c r="E57" s="34"/>
      <c r="F57" s="34"/>
      <c r="G57" s="34"/>
      <c r="H57" s="34"/>
      <c r="I57" s="34"/>
      <c r="J57" s="34"/>
      <c r="K57" s="25"/>
      <c r="L57" s="25"/>
      <c r="M57" s="25"/>
      <c r="N57" s="25"/>
      <c r="O57" s="25"/>
      <c r="P57" s="25"/>
      <c r="Q57" s="25"/>
      <c r="R57" s="25"/>
      <c r="S57" s="25"/>
      <c r="T57" s="25"/>
      <c r="U57" s="25"/>
      <c r="V57" s="25"/>
      <c r="W57" s="25"/>
      <c r="X57" s="25"/>
      <c r="Y57" s="25"/>
      <c r="Z57" s="25"/>
      <c r="AA57" s="25"/>
      <c r="AB57" s="25"/>
    </row>
    <row r="58" spans="1:28" ht="16" customHeight="1" x14ac:dyDescent="0.3">
      <c r="A58" s="338" t="s">
        <v>350</v>
      </c>
      <c r="B58" s="34"/>
      <c r="C58" s="34"/>
      <c r="D58" s="34"/>
      <c r="E58" s="34"/>
      <c r="F58" s="34"/>
      <c r="G58" s="34"/>
      <c r="H58" s="34"/>
      <c r="I58" s="34"/>
      <c r="J58" s="34"/>
      <c r="K58" s="25"/>
      <c r="L58" s="25"/>
      <c r="M58" s="25"/>
      <c r="N58" s="25"/>
      <c r="O58" s="25"/>
      <c r="P58" s="25"/>
      <c r="Q58" s="25"/>
      <c r="R58" s="25"/>
      <c r="S58" s="25"/>
      <c r="T58" s="25"/>
      <c r="U58" s="25"/>
      <c r="V58" s="25"/>
      <c r="W58" s="25"/>
      <c r="X58" s="25"/>
      <c r="Y58" s="25"/>
      <c r="Z58" s="25"/>
      <c r="AA58" s="25"/>
      <c r="AB58" s="25"/>
    </row>
    <row r="59" spans="1:28" ht="5" customHeight="1" x14ac:dyDescent="0.3">
      <c r="A59" s="34"/>
      <c r="B59" s="34"/>
      <c r="C59" s="34"/>
      <c r="D59" s="34"/>
      <c r="E59" s="34"/>
      <c r="F59" s="34"/>
      <c r="G59" s="34"/>
      <c r="H59" s="34"/>
      <c r="I59" s="34"/>
      <c r="J59" s="34"/>
      <c r="K59" s="25"/>
      <c r="L59" s="25"/>
      <c r="M59" s="25"/>
      <c r="N59" s="25"/>
      <c r="O59" s="25"/>
      <c r="P59" s="25"/>
      <c r="Q59" s="25"/>
      <c r="R59" s="25"/>
      <c r="S59" s="25"/>
      <c r="T59" s="25"/>
      <c r="U59" s="25"/>
      <c r="V59" s="25"/>
      <c r="W59" s="25"/>
      <c r="X59" s="25"/>
      <c r="Y59" s="25"/>
      <c r="Z59" s="25"/>
      <c r="AA59" s="25"/>
      <c r="AB59" s="25"/>
    </row>
    <row r="60" spans="1:28" ht="19" customHeight="1" x14ac:dyDescent="0.3">
      <c r="A60" s="341" t="s">
        <v>362</v>
      </c>
      <c r="B60" s="34"/>
      <c r="C60" s="341" t="s">
        <v>279</v>
      </c>
      <c r="D60" s="34"/>
      <c r="E60" s="341" t="s">
        <v>363</v>
      </c>
      <c r="F60" s="34"/>
      <c r="G60" s="341" t="s">
        <v>364</v>
      </c>
      <c r="H60" s="34"/>
      <c r="I60" s="34"/>
      <c r="J60" s="34"/>
      <c r="K60" s="25"/>
      <c r="L60" s="25"/>
      <c r="M60" s="25"/>
      <c r="N60" s="25"/>
      <c r="O60" s="25"/>
      <c r="P60" s="25"/>
      <c r="Q60" s="25"/>
      <c r="R60" s="25"/>
      <c r="S60" s="25"/>
      <c r="T60" s="25"/>
      <c r="U60" s="25"/>
      <c r="V60" s="25"/>
      <c r="W60" s="25"/>
      <c r="X60" s="25"/>
      <c r="Y60" s="25"/>
      <c r="Z60" s="25"/>
      <c r="AA60" s="25"/>
      <c r="AB60" s="25"/>
    </row>
    <row r="61" spans="1:28" ht="15" customHeight="1" x14ac:dyDescent="0.3">
      <c r="A61" s="34"/>
      <c r="B61" s="34"/>
      <c r="C61" s="34"/>
      <c r="D61" s="34"/>
      <c r="E61" s="34"/>
      <c r="F61" s="34"/>
      <c r="G61" s="34"/>
      <c r="H61" s="34"/>
      <c r="I61" s="34"/>
      <c r="J61" s="34"/>
      <c r="K61" s="25"/>
      <c r="L61" s="25"/>
      <c r="M61" s="25"/>
      <c r="N61" s="25"/>
      <c r="O61" s="25"/>
      <c r="P61" s="25"/>
      <c r="Q61" s="25"/>
      <c r="R61" s="25"/>
      <c r="S61" s="25"/>
      <c r="T61" s="25"/>
      <c r="U61" s="25"/>
      <c r="V61" s="25"/>
      <c r="W61" s="25"/>
      <c r="X61" s="25"/>
      <c r="Y61" s="25"/>
      <c r="Z61" s="25"/>
      <c r="AA61" s="25"/>
      <c r="AB61" s="25"/>
    </row>
    <row r="62" spans="1:28" ht="15" customHeight="1" x14ac:dyDescent="0.3">
      <c r="A62" s="34"/>
      <c r="B62" s="34"/>
      <c r="C62" s="34"/>
      <c r="D62" s="34"/>
      <c r="E62" s="34"/>
      <c r="F62" s="34"/>
      <c r="G62" s="34"/>
      <c r="H62" s="34"/>
      <c r="I62" s="34"/>
      <c r="J62" s="34"/>
      <c r="K62" s="25"/>
      <c r="L62" s="25"/>
      <c r="M62" s="25"/>
      <c r="N62" s="25"/>
      <c r="O62" s="25"/>
      <c r="P62" s="25"/>
      <c r="Q62" s="25"/>
      <c r="R62" s="25"/>
      <c r="S62" s="25"/>
      <c r="T62" s="25"/>
      <c r="U62" s="25"/>
      <c r="V62" s="25"/>
      <c r="W62" s="25"/>
      <c r="X62" s="25"/>
      <c r="Y62" s="25"/>
      <c r="Z62" s="25"/>
      <c r="AA62" s="25"/>
      <c r="AB62" s="25"/>
    </row>
    <row r="63" spans="1:28" ht="24" customHeight="1" x14ac:dyDescent="0.3">
      <c r="A63" s="337" t="s">
        <v>324</v>
      </c>
      <c r="B63" s="34"/>
      <c r="C63" s="34"/>
      <c r="D63" s="34"/>
      <c r="E63" s="34"/>
      <c r="F63" s="34"/>
      <c r="G63" s="34"/>
      <c r="H63" s="34"/>
      <c r="I63" s="34"/>
      <c r="J63" s="34"/>
      <c r="K63" s="25"/>
      <c r="L63" s="25"/>
      <c r="M63" s="25"/>
      <c r="N63" s="25"/>
      <c r="O63" s="25"/>
      <c r="P63" s="25"/>
      <c r="Q63" s="25"/>
      <c r="R63" s="25"/>
      <c r="S63" s="25"/>
      <c r="T63" s="25"/>
      <c r="U63" s="25"/>
      <c r="V63" s="25"/>
      <c r="W63" s="25"/>
      <c r="X63" s="25"/>
      <c r="Y63" s="25"/>
      <c r="Z63" s="25"/>
      <c r="AA63" s="25"/>
      <c r="AB63" s="25"/>
    </row>
    <row r="64" spans="1:28" ht="15" customHeight="1" x14ac:dyDescent="0.3">
      <c r="A64" s="338" t="s">
        <v>350</v>
      </c>
      <c r="B64" s="34"/>
      <c r="C64" s="34"/>
      <c r="D64" s="34"/>
      <c r="E64" s="34"/>
      <c r="F64" s="34"/>
      <c r="G64" s="34"/>
      <c r="H64" s="34"/>
      <c r="I64" s="34"/>
      <c r="J64" s="34"/>
      <c r="K64" s="25"/>
      <c r="L64" s="25"/>
      <c r="M64" s="25"/>
      <c r="N64" s="25"/>
      <c r="O64" s="25"/>
      <c r="P64" s="25"/>
      <c r="Q64" s="25"/>
      <c r="R64" s="25"/>
      <c r="S64" s="25"/>
      <c r="T64" s="25"/>
      <c r="U64" s="25"/>
      <c r="V64" s="25"/>
      <c r="W64" s="25"/>
      <c r="X64" s="25"/>
      <c r="Y64" s="25"/>
      <c r="Z64" s="25"/>
      <c r="AA64" s="25"/>
      <c r="AB64" s="25"/>
    </row>
    <row r="65" spans="1:28" ht="5" customHeight="1" x14ac:dyDescent="0.3">
      <c r="A65" s="34"/>
      <c r="B65" s="34"/>
      <c r="C65" s="34"/>
      <c r="D65" s="34"/>
      <c r="E65" s="34"/>
      <c r="F65" s="34"/>
      <c r="G65" s="34"/>
      <c r="H65" s="34"/>
      <c r="I65" s="34"/>
      <c r="J65" s="34"/>
      <c r="K65" s="25"/>
      <c r="L65" s="25"/>
      <c r="M65" s="25"/>
      <c r="N65" s="25"/>
      <c r="O65" s="25"/>
      <c r="P65" s="25"/>
      <c r="Q65" s="25"/>
      <c r="R65" s="25"/>
      <c r="S65" s="25"/>
      <c r="T65" s="25"/>
      <c r="U65" s="25"/>
      <c r="V65" s="25"/>
      <c r="W65" s="25"/>
      <c r="X65" s="25"/>
      <c r="Y65" s="25"/>
      <c r="Z65" s="25"/>
      <c r="AA65" s="25"/>
      <c r="AB65" s="25"/>
    </row>
    <row r="66" spans="1:28" ht="16" customHeight="1" x14ac:dyDescent="0.3">
      <c r="A66" s="341" t="s">
        <v>365</v>
      </c>
      <c r="B66" s="341" t="s">
        <v>376</v>
      </c>
      <c r="C66" s="341"/>
      <c r="D66" s="34"/>
      <c r="E66" s="341" t="s">
        <v>367</v>
      </c>
      <c r="F66" s="34"/>
      <c r="G66" s="34"/>
      <c r="H66" s="341" t="s">
        <v>328</v>
      </c>
      <c r="I66" s="34"/>
      <c r="J66" s="333"/>
      <c r="K66" s="25"/>
      <c r="L66" s="25"/>
      <c r="M66" s="25"/>
      <c r="N66" s="25"/>
      <c r="O66" s="25"/>
      <c r="P66" s="25"/>
      <c r="Q66" s="25"/>
      <c r="R66" s="25"/>
      <c r="S66" s="25"/>
      <c r="T66" s="25"/>
      <c r="U66" s="25"/>
      <c r="V66" s="25"/>
      <c r="W66" s="25"/>
      <c r="X66" s="25"/>
      <c r="Y66" s="25"/>
      <c r="Z66" s="25"/>
      <c r="AA66" s="25"/>
      <c r="AB66" s="25"/>
    </row>
    <row r="67" spans="1:28" ht="15" customHeight="1" x14ac:dyDescent="0.3">
      <c r="A67" s="34"/>
      <c r="B67" s="34"/>
      <c r="C67" s="34"/>
      <c r="D67" s="34"/>
      <c r="E67" s="333"/>
      <c r="F67" s="34"/>
      <c r="G67" s="34"/>
      <c r="H67" s="34"/>
      <c r="I67" s="34"/>
      <c r="J67" s="333"/>
      <c r="K67" s="25"/>
      <c r="L67" s="25"/>
      <c r="M67" s="25"/>
      <c r="N67" s="25"/>
      <c r="O67" s="25"/>
      <c r="P67" s="25"/>
      <c r="Q67" s="25"/>
      <c r="R67" s="25"/>
      <c r="S67" s="25"/>
      <c r="T67" s="25"/>
      <c r="U67" s="25"/>
      <c r="V67" s="25"/>
      <c r="W67" s="25"/>
      <c r="X67" s="25"/>
      <c r="Y67" s="25"/>
      <c r="Z67" s="25"/>
      <c r="AA67" s="25"/>
      <c r="AB67" s="25"/>
    </row>
    <row r="68" spans="1:28" ht="15" customHeight="1" x14ac:dyDescent="0.3">
      <c r="A68" s="34"/>
      <c r="B68" s="34"/>
      <c r="C68" s="34"/>
      <c r="D68" s="34"/>
      <c r="E68" s="34"/>
      <c r="F68" s="34"/>
      <c r="G68" s="34"/>
      <c r="H68" s="34"/>
      <c r="I68" s="34"/>
      <c r="J68" s="34"/>
      <c r="K68" s="25"/>
      <c r="L68" s="25"/>
      <c r="M68" s="25"/>
      <c r="N68" s="25"/>
      <c r="O68" s="25"/>
      <c r="P68" s="25"/>
      <c r="Q68" s="25"/>
      <c r="R68" s="25"/>
      <c r="S68" s="25"/>
      <c r="T68" s="25"/>
      <c r="U68" s="25"/>
      <c r="V68" s="25"/>
      <c r="W68" s="25"/>
      <c r="X68" s="25"/>
      <c r="Y68" s="25"/>
      <c r="Z68" s="25"/>
      <c r="AA68" s="25"/>
      <c r="AB68" s="25"/>
    </row>
    <row r="69" spans="1:28" ht="24" customHeight="1" x14ac:dyDescent="0.3">
      <c r="A69" s="337" t="s">
        <v>368</v>
      </c>
      <c r="B69" s="34"/>
      <c r="C69" s="34"/>
      <c r="D69" s="34"/>
      <c r="E69" s="34"/>
      <c r="F69" s="34"/>
      <c r="G69" s="34"/>
      <c r="H69" s="34"/>
      <c r="I69" s="34"/>
      <c r="J69" s="34"/>
      <c r="K69" s="25"/>
      <c r="L69" s="25"/>
      <c r="M69" s="25"/>
      <c r="N69" s="25"/>
      <c r="O69" s="25"/>
      <c r="P69" s="25"/>
      <c r="Q69" s="25"/>
      <c r="R69" s="25"/>
      <c r="S69" s="25"/>
      <c r="T69" s="25"/>
      <c r="U69" s="25"/>
      <c r="V69" s="25"/>
      <c r="W69" s="25"/>
      <c r="X69" s="25"/>
      <c r="Y69" s="25"/>
      <c r="Z69" s="25"/>
      <c r="AA69" s="25"/>
      <c r="AB69" s="25"/>
    </row>
    <row r="70" spans="1:28" ht="15" customHeight="1" x14ac:dyDescent="0.3">
      <c r="A70" s="338" t="s">
        <v>350</v>
      </c>
      <c r="B70" s="34"/>
      <c r="C70" s="34"/>
      <c r="D70" s="34"/>
      <c r="E70" s="34"/>
      <c r="F70" s="34"/>
      <c r="G70" s="34"/>
      <c r="H70" s="34"/>
      <c r="I70" s="34"/>
      <c r="J70" s="34"/>
      <c r="K70" s="25"/>
      <c r="L70" s="25"/>
      <c r="M70" s="25"/>
      <c r="N70" s="25"/>
      <c r="O70" s="25"/>
      <c r="P70" s="25"/>
      <c r="Q70" s="25"/>
      <c r="R70" s="25"/>
      <c r="S70" s="25"/>
      <c r="T70" s="25"/>
      <c r="U70" s="25"/>
      <c r="V70" s="25"/>
      <c r="W70" s="25"/>
      <c r="X70" s="25"/>
      <c r="Y70" s="25"/>
      <c r="Z70" s="25"/>
      <c r="AA70" s="25"/>
      <c r="AB70" s="25"/>
    </row>
    <row r="71" spans="1:28" ht="5" customHeight="1" x14ac:dyDescent="0.3">
      <c r="A71" s="34"/>
      <c r="B71" s="34"/>
      <c r="C71" s="34"/>
      <c r="D71" s="34"/>
      <c r="E71" s="34"/>
      <c r="F71" s="34"/>
      <c r="G71" s="34"/>
      <c r="H71" s="34"/>
      <c r="I71" s="34"/>
      <c r="J71" s="34"/>
      <c r="K71" s="25"/>
      <c r="L71" s="25"/>
      <c r="M71" s="25"/>
      <c r="N71" s="25"/>
      <c r="O71" s="25"/>
      <c r="P71" s="25"/>
      <c r="Q71" s="25"/>
      <c r="R71" s="25"/>
      <c r="S71" s="25"/>
      <c r="T71" s="25"/>
      <c r="U71" s="25"/>
      <c r="V71" s="25"/>
      <c r="W71" s="25"/>
      <c r="X71" s="25"/>
      <c r="Y71" s="25"/>
      <c r="Z71" s="25"/>
      <c r="AA71" s="25"/>
      <c r="AB71" s="25"/>
    </row>
    <row r="72" spans="1:28" ht="19" customHeight="1" x14ac:dyDescent="0.3">
      <c r="A72" s="341" t="s">
        <v>369</v>
      </c>
      <c r="B72" s="34"/>
      <c r="C72" s="341" t="s">
        <v>370</v>
      </c>
      <c r="D72" s="34"/>
      <c r="E72" s="34"/>
      <c r="F72" s="342" t="s">
        <v>371</v>
      </c>
      <c r="G72" s="34"/>
      <c r="H72" s="34"/>
      <c r="I72" s="34"/>
      <c r="J72" s="34"/>
      <c r="K72" s="25"/>
      <c r="L72" s="25"/>
      <c r="M72" s="25"/>
      <c r="N72" s="25"/>
      <c r="O72" s="25"/>
      <c r="P72" s="25"/>
      <c r="Q72" s="25"/>
      <c r="R72" s="25"/>
      <c r="S72" s="25"/>
      <c r="T72" s="25"/>
      <c r="U72" s="25"/>
      <c r="V72" s="25"/>
      <c r="W72" s="25"/>
      <c r="X72" s="25"/>
      <c r="Y72" s="25"/>
      <c r="Z72" s="25"/>
      <c r="AA72" s="25"/>
      <c r="AB72" s="25"/>
    </row>
    <row r="73" spans="1:28" ht="15" customHeight="1" x14ac:dyDescent="0.3">
      <c r="A73" s="341" t="s">
        <v>372</v>
      </c>
      <c r="B73" s="34"/>
      <c r="C73" s="341" t="s">
        <v>373</v>
      </c>
      <c r="D73" s="34"/>
      <c r="E73" s="34"/>
      <c r="F73" s="341" t="s">
        <v>374</v>
      </c>
      <c r="G73" s="34"/>
      <c r="H73" s="34"/>
      <c r="I73" s="34"/>
      <c r="J73" s="34"/>
      <c r="K73" s="25"/>
      <c r="L73" s="25"/>
      <c r="M73" s="25"/>
      <c r="N73" s="25"/>
      <c r="O73" s="25"/>
      <c r="P73" s="25"/>
      <c r="Q73" s="25"/>
      <c r="R73" s="25"/>
      <c r="S73" s="25"/>
      <c r="T73" s="25"/>
      <c r="U73" s="25"/>
      <c r="V73" s="25"/>
      <c r="W73" s="25"/>
      <c r="X73" s="25"/>
      <c r="Y73" s="25"/>
      <c r="Z73" s="25"/>
      <c r="AA73" s="25"/>
      <c r="AB73" s="25"/>
    </row>
    <row r="74" spans="1:28" ht="15" customHeight="1" x14ac:dyDescent="0.3">
      <c r="C74" s="31"/>
      <c r="K74" s="25"/>
      <c r="L74" s="25"/>
      <c r="M74" s="25"/>
      <c r="N74" s="25"/>
      <c r="O74" s="25"/>
      <c r="P74" s="25"/>
      <c r="Q74" s="25"/>
      <c r="R74" s="25"/>
      <c r="S74" s="25"/>
      <c r="T74" s="25"/>
      <c r="U74" s="25"/>
      <c r="V74" s="25"/>
      <c r="W74" s="25"/>
      <c r="X74" s="25"/>
      <c r="Y74" s="25"/>
      <c r="Z74" s="25"/>
      <c r="AA74" s="25"/>
      <c r="AB74" s="25"/>
    </row>
    <row r="75" spans="1:28" ht="15" customHeight="1" x14ac:dyDescent="0.3">
      <c r="K75" s="25"/>
      <c r="L75" s="25"/>
      <c r="M75" s="25"/>
      <c r="N75" s="25"/>
      <c r="O75" s="25"/>
      <c r="P75" s="25"/>
      <c r="Q75" s="25"/>
      <c r="R75" s="25"/>
      <c r="S75" s="25"/>
      <c r="T75" s="25"/>
      <c r="U75" s="25"/>
      <c r="V75" s="25"/>
      <c r="W75" s="25"/>
      <c r="X75" s="25"/>
      <c r="Y75" s="25"/>
      <c r="Z75" s="25"/>
      <c r="AA75" s="25"/>
      <c r="AB75" s="25"/>
    </row>
    <row r="76" spans="1:28" ht="15" customHeight="1" x14ac:dyDescent="0.3">
      <c r="K76" s="25"/>
      <c r="L76" s="25"/>
      <c r="M76" s="25"/>
      <c r="N76" s="25"/>
      <c r="O76" s="25"/>
      <c r="P76" s="25"/>
      <c r="Q76" s="25"/>
      <c r="R76" s="25"/>
      <c r="S76" s="25"/>
      <c r="T76" s="25"/>
      <c r="U76" s="25"/>
      <c r="V76" s="25"/>
      <c r="W76" s="25"/>
      <c r="X76" s="25"/>
      <c r="Y76" s="25"/>
      <c r="Z76" s="25"/>
      <c r="AA76" s="25"/>
      <c r="AB76" s="25"/>
    </row>
    <row r="77" spans="1:28" ht="15" customHeight="1" x14ac:dyDescent="0.3">
      <c r="K77" s="25"/>
      <c r="L77" s="25"/>
      <c r="M77" s="25"/>
      <c r="N77" s="25"/>
      <c r="O77" s="25"/>
      <c r="P77" s="25"/>
      <c r="Q77" s="25"/>
      <c r="R77" s="25"/>
      <c r="S77" s="25"/>
      <c r="T77" s="25"/>
      <c r="U77" s="25"/>
      <c r="V77" s="25"/>
      <c r="W77" s="25"/>
      <c r="X77" s="25"/>
      <c r="Y77" s="25"/>
      <c r="Z77" s="25"/>
      <c r="AA77" s="25"/>
      <c r="AB77" s="25"/>
    </row>
  </sheetData>
  <sheetProtection algorithmName="SHA-512" hashValue="di7XE1VCM2qRZGmYw5dFxQRP0RSF4j63pcxkR+fyELEFlagaPd3C/ojg5UhjlEvRnym25zDb21NktBTYl4Absg==" saltValue="9gCiDxrOoZJM1ARQ8AvH1Q==" spinCount="100000" sheet="1" objects="1" scenarios="1"/>
  <mergeCells count="2">
    <mergeCell ref="A1:J1"/>
    <mergeCell ref="A2:J3"/>
  </mergeCells>
  <printOptions horizontalCentered="1" verticalCentered="1"/>
  <pageMargins left="0.1" right="0.1" top="0.25" bottom="0.25" header="0.1" footer="0.1"/>
  <pageSetup scale="64"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3D6B3-8C56-A049-8625-BE35E6453262}">
  <dimension ref="A1:I2"/>
  <sheetViews>
    <sheetView workbookViewId="0">
      <selection activeCell="G16" sqref="G16"/>
    </sheetView>
  </sheetViews>
  <sheetFormatPr baseColWidth="10" defaultRowHeight="15" x14ac:dyDescent="0.2"/>
  <sheetData>
    <row r="1" spans="1:9" ht="24" x14ac:dyDescent="0.2">
      <c r="A1" s="1" t="s">
        <v>330</v>
      </c>
      <c r="B1" s="1"/>
      <c r="C1" s="1"/>
      <c r="D1" s="1"/>
      <c r="E1" s="1"/>
      <c r="F1" s="29"/>
      <c r="G1" s="29"/>
      <c r="H1" s="29"/>
      <c r="I1" s="29"/>
    </row>
    <row r="2" spans="1:9" ht="24" x14ac:dyDescent="0.25">
      <c r="A2" s="1" t="s">
        <v>329</v>
      </c>
      <c r="B2" s="1"/>
      <c r="C2" s="1"/>
      <c r="D2" s="23"/>
      <c r="E2" s="1"/>
      <c r="F2" s="29"/>
      <c r="G2" s="29"/>
      <c r="H2" s="29"/>
      <c r="I2" s="29"/>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Asset Maps</vt:lpstr>
      <vt:lpstr>Financial Summary</vt:lpstr>
      <vt:lpstr>Financial Journal</vt:lpstr>
      <vt:lpstr>Portfolio</vt:lpstr>
      <vt:lpstr>Portfolio Dec.11.2025 Q4</vt:lpstr>
      <vt:lpstr>Portfolio Model</vt:lpstr>
      <vt:lpstr>Stock Watchlist</vt:lpstr>
      <vt:lpstr>Client Profile</vt:lpstr>
      <vt:lpstr>Client Profile (2)</vt:lpstr>
      <vt:lpstr>client profile back page</vt:lpstr>
      <vt:lpstr>'Asset Maps'!Print_Area</vt:lpstr>
      <vt:lpstr>'Client Profile'!Print_Area</vt:lpstr>
      <vt:lpstr>'Client Profile (2)'!Print_Area</vt:lpstr>
      <vt:lpstr>'Financial Journal'!Print_Area</vt:lpstr>
      <vt:lpstr>'Financial Summary'!Print_Area</vt:lpstr>
      <vt:lpstr>Portfolio!Print_Area</vt:lpstr>
      <vt:lpstr>'Portfolio Dec.11.2025 Q4'!Print_Area</vt:lpstr>
      <vt:lpstr>'Stock Watchlist'!Print_Area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ERIC.JIANG1</cp:lastModifiedBy>
  <cp:revision/>
  <cp:lastPrinted>2025-12-12T05:41:55Z</cp:lastPrinted>
  <dcterms:created xsi:type="dcterms:W3CDTF">2025-04-19T02:03:32Z</dcterms:created>
  <dcterms:modified xsi:type="dcterms:W3CDTF">2025-12-12T06:39:00Z</dcterms:modified>
  <cp:category/>
  <cp:contentStatus/>
</cp:coreProperties>
</file>